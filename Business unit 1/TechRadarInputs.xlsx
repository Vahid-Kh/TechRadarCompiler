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75297\Git\Python\Tech Radar Compiler\Expansion Function\"/>
    </mc:Choice>
  </mc:AlternateContent>
  <xr:revisionPtr revIDLastSave="0" documentId="13_ncr:1_{84230894-14E6-48BF-AFA8-425C139443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ategories" sheetId="4" r:id="rId1"/>
    <sheet name="Techs" sheetId="1" r:id="rId2"/>
    <sheet name="Contacts" sheetId="2" r:id="rId3"/>
    <sheet name="Stats" sheetId="3" r:id="rId4"/>
  </sheets>
  <definedNames>
    <definedName name="_xlnm._FilterDatabase" localSheetId="1" hidden="1">Techs!#REF!</definedName>
  </definedNames>
  <calcPr calcId="191028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<sst xmlns="http://schemas.openxmlformats.org/spreadsheetml/2006/main" count="151" uniqueCount="125">
  <si>
    <t>SharePoint link</t>
  </si>
  <si>
    <t>Technology title</t>
  </si>
  <si>
    <t>Number</t>
  </si>
  <si>
    <t>Contact person</t>
  </si>
  <si>
    <t>Contact</t>
  </si>
  <si>
    <t>When</t>
  </si>
  <si>
    <t>Topic</t>
  </si>
  <si>
    <t>Reply</t>
  </si>
  <si>
    <t>Action taken</t>
  </si>
  <si>
    <t>To do</t>
  </si>
  <si>
    <t>One Pager</t>
  </si>
  <si>
    <t>Source of info</t>
  </si>
  <si>
    <t>Internal</t>
  </si>
  <si>
    <t>Catalogues</t>
  </si>
  <si>
    <t>IP landscape</t>
  </si>
  <si>
    <t>Adopt: "0"
Trial: "1"
Assess: "2"
Hold: "3"</t>
  </si>
  <si>
    <t>Row Labels</t>
  </si>
  <si>
    <t>Grand Total</t>
  </si>
  <si>
    <t>Count of Technology title</t>
  </si>
  <si>
    <t>In use</t>
  </si>
  <si>
    <t>Category</t>
  </si>
  <si>
    <t>Effort level</t>
  </si>
  <si>
    <t>Importance</t>
  </si>
  <si>
    <t>Categories</t>
  </si>
  <si>
    <t>https://miro.com/app/board/o9J_lRN4N9k=/?moveToWidget=3074457357960150973&amp;cot=14</t>
  </si>
  <si>
    <t>https://miro.com/app/board/o9J_lRN4N9k=/?moveToWidget=3074457357960150966&amp;cot=14</t>
  </si>
  <si>
    <t>https://miro.com/app/board/o9J_lRN4N9k=/?moveToWidget=3074457357960150969&amp;cot=14</t>
  </si>
  <si>
    <t>https://miro.com/app/board/o9J_lRN4N9k=/?moveToWidget=3074457357962256366&amp;cot=14</t>
  </si>
  <si>
    <t>https://miro.com/app/board/o9J_lRN4N9k=/?moveToWidget=3074457357960150970&amp;cot=14</t>
  </si>
  <si>
    <t>https://miro.com/app/board/o9J_lRN4N9k=/?moveToWidget=3074457357960150971&amp;cot=14</t>
  </si>
  <si>
    <t>https://miro.com/app/board/o9J_lRN4N9k=/?moveToWidget=3074457357960150977&amp;cot=14</t>
  </si>
  <si>
    <t>https://miro.com/app/board/o9J_lRN4N9k=/?moveToWidget=3074457357960150972&amp;cot=14</t>
  </si>
  <si>
    <t>Color</t>
  </si>
  <si>
    <t>https://miro.com/app/board/o9J_lRN4N9k=/?moveToWidget=3074457355341600402&amp;cot=14</t>
  </si>
  <si>
    <t>https://miro.com/app/board/o9J_lRN4N9k=/?moveToWidget=3074457361323676270&amp;cot=10</t>
  </si>
  <si>
    <t>https://miro.com/app/board/o9J_lRN4N9k=/?moveToWidget=3074457357963498006&amp;cot=14</t>
  </si>
  <si>
    <t>Market desirability
High "0"
Medium "1"
Low "2"</t>
  </si>
  <si>
    <t>Technology feasibility
Low : "-1"
Medium : "0"
High : "1"</t>
  </si>
  <si>
    <t>https://miro.com/app/board/o9J_lRN4N9k=/?moveToWidget=3074457357963498014&amp;cot=14</t>
  </si>
  <si>
    <t>https://miro.com/app/board/o9J_lRN4N9k=/?moveToWidget=3074457357963498015&amp;cot=14</t>
  </si>
  <si>
    <t>https://miro.com/app/board/o9J_lUSZ8s8=/</t>
  </si>
  <si>
    <t>Project1</t>
  </si>
  <si>
    <t>Project2</t>
  </si>
  <si>
    <t>Project3</t>
  </si>
  <si>
    <t>Project4</t>
  </si>
  <si>
    <t>Project5</t>
  </si>
  <si>
    <t>Project6</t>
  </si>
  <si>
    <t>Project7</t>
  </si>
  <si>
    <t>Project8</t>
  </si>
  <si>
    <t>Project9</t>
  </si>
  <si>
    <t>Project10</t>
  </si>
  <si>
    <t>Project11</t>
  </si>
  <si>
    <t>Project12</t>
  </si>
  <si>
    <t>Project13</t>
  </si>
  <si>
    <t>Project14</t>
  </si>
  <si>
    <t>Project15</t>
  </si>
  <si>
    <t>Project16</t>
  </si>
  <si>
    <t>Project17</t>
  </si>
  <si>
    <t>Project18</t>
  </si>
  <si>
    <t>Project19</t>
  </si>
  <si>
    <t>Project20</t>
  </si>
  <si>
    <t>Project21</t>
  </si>
  <si>
    <t>Project22</t>
  </si>
  <si>
    <t>https://miro.com/app/board/o9J_lRN4N9k=/?moveToWidget=3074457357963498015&amp;cot=15</t>
  </si>
  <si>
    <t>https://miro.com/app/board/o9J_lRN4N9k=/?moveToWidget=3074457357963498015&amp;cot=16</t>
  </si>
  <si>
    <t>https://miro.com/app/board/o9J_lRN4N9k=/?moveToWidget=3074457357963498015&amp;cot=17</t>
  </si>
  <si>
    <t>https://miro.com/app/board/o9J_lRN4N9k=/?moveToWidget=3074457357963498015&amp;cot=18</t>
  </si>
  <si>
    <t>https://miro.com/app/board/o9J_lRN4N9k=/?moveToWidget=3074457357963498015&amp;cot=19</t>
  </si>
  <si>
    <t>https://miro.com/app/board/o9J_lRN4N9k=/?moveToWidget=3074457357963498015&amp;cot=20</t>
  </si>
  <si>
    <t>https://miro.com/app/board/o9J_lRN4N9k=/?moveToWidget=3074457357963498015&amp;cot=21</t>
  </si>
  <si>
    <t>https://miro.com/app/board/o9J_lRN4N9k=/?moveToWidget=3074457357963498015&amp;cot=22</t>
  </si>
  <si>
    <t>https://miro.com/app/board/o9J_lRN4N9k=/?moveToWidget=3074457357960150973&amp;cot=15</t>
  </si>
  <si>
    <t>https://miro.com/app/board/o9J_lRN4N9k=/?moveToWidget=3074457357960150973&amp;cot=16</t>
  </si>
  <si>
    <t>https://miro.com/app/board/o9J_lRN4N9k=/?moveToWidget=3074457357960150973&amp;cot=17</t>
  </si>
  <si>
    <t>https://miro.com/app/board/o9J_lRN4N9k=/?moveToWidget=3074457357960150973&amp;cot=18</t>
  </si>
  <si>
    <t>https://miro.com/app/board/o9J_lRN4N9k=/?moveToWidget=3074457357960150973&amp;cot=19</t>
  </si>
  <si>
    <t>https://miro.com/app/board/o9J_lRN4N9k=/?moveToWidget=3074457357960150973&amp;cot=20</t>
  </si>
  <si>
    <t>https://miro.com/app/board/o9J_lRN4N9k=/?moveToWidget=3074457357960150973&amp;cot=21</t>
  </si>
  <si>
    <t>https://miro.com/app/board/o9J_lRN4N9k=/?moveToWidget=3074457357960150973&amp;cot=22</t>
  </si>
  <si>
    <t>https://miro.com/app/board/o9J_lRN4N9k=/?moveToWidget=3074457357960150973&amp;cot=23</t>
  </si>
  <si>
    <t>https://miro.com/app/board/o9J_lRN4N9k=/?moveToWidget=3074457357960150973&amp;cot=24</t>
  </si>
  <si>
    <t>https://miro.com/app/board/o9J_lRN4N9k=/?moveToWidget=3074457357960150973&amp;cot=25</t>
  </si>
  <si>
    <t>https://miro.com/app/board/o9J_lRN4N9k=/?moveToWidget=3074457357960150973&amp;cot=26</t>
  </si>
  <si>
    <t>https://miro.com/app/board/o9J_lRN4N9k=/?moveToWidget=3074457357960150973&amp;cot=27</t>
  </si>
  <si>
    <t>https://miro.com/app/board/o9J_lRN4N9k=/?moveToWidget=3074457357960150973&amp;cot=28</t>
  </si>
  <si>
    <t>https://miro.com/app/board/o9J_lRN4N9k=/?moveToWidget=3074457357960150973&amp;cot=29</t>
  </si>
  <si>
    <t>https://miro.com/app/board/o9J_lRN4N9k=/?moveToWidget=3074457357960150973&amp;cot=30</t>
  </si>
  <si>
    <t>https://miro.com/app/board/o9J_lRN4N9k=/?moveToWidget=3074457357960150973&amp;cot=31</t>
  </si>
  <si>
    <t>https://miro.com/app/board/o9J_lRN4N9k=/?moveToWidget=3074457357960150973&amp;cot=32</t>
  </si>
  <si>
    <t>https://miro.com/app/board/o9J_lRN4N9k=/?moveToWidget=3074457357960150973&amp;cot=33</t>
  </si>
  <si>
    <t>https://miro.com/app/board/o9J_lRN4N9k=/?moveToWidget=3074457357960150973&amp;cot=34</t>
  </si>
  <si>
    <t>https://miro.com/app/board/o9J_lRN4N9k=/?moveToWidget=3074457357960150973&amp;cot=35</t>
  </si>
  <si>
    <t>Person1</t>
  </si>
  <si>
    <t>Person2</t>
  </si>
  <si>
    <t>Person3</t>
  </si>
  <si>
    <t>Person4</t>
  </si>
  <si>
    <t>Person5</t>
  </si>
  <si>
    <t>Person6</t>
  </si>
  <si>
    <t>Person7</t>
  </si>
  <si>
    <t>Person8</t>
  </si>
  <si>
    <t>Person9</t>
  </si>
  <si>
    <t>Person10</t>
  </si>
  <si>
    <t>Person11</t>
  </si>
  <si>
    <t>Person12</t>
  </si>
  <si>
    <t>Person13</t>
  </si>
  <si>
    <t>Person14</t>
  </si>
  <si>
    <t>Person15</t>
  </si>
  <si>
    <t>Person16</t>
  </si>
  <si>
    <t>Person17</t>
  </si>
  <si>
    <t>Person18</t>
  </si>
  <si>
    <t>Person19</t>
  </si>
  <si>
    <t>Person20</t>
  </si>
  <si>
    <t>Person21</t>
  </si>
  <si>
    <t>Person22</t>
  </si>
  <si>
    <t>External</t>
  </si>
  <si>
    <t>Tech1</t>
  </si>
  <si>
    <t>Tech2</t>
  </si>
  <si>
    <t>Tech3</t>
  </si>
  <si>
    <t>Tech4</t>
  </si>
  <si>
    <t>Cat1</t>
  </si>
  <si>
    <t>Cat2</t>
  </si>
  <si>
    <t>Cat3</t>
  </si>
  <si>
    <t>Cat4</t>
  </si>
  <si>
    <t xml:space="preserve">
"Cat1"	0
"Cat2"	1
"Cat3"	2
"Cat4"	3</t>
  </si>
  <si>
    <t>Business unit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</si>
</sst>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8"/>
      <color rgb="FFC00000"/>
      <name val="Calibri"/>
      <family val="2"/>
      <scheme val="minor"/>
    </font>
    <font>
      <sz val="20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1" xfId="0" applyFont="1" applyBorder="1"/>
    <xf numFmtId="0" fontId="0" fillId="0" borderId="3" xfId="0" applyBorder="1"/>
    <xf numFmtId="0" fontId="0" fillId="0" borderId="6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vertical="top"/>
    </xf>
    <xf numFmtId="0" fontId="6" fillId="0" borderId="0" xfId="1" applyFont="1" applyBorder="1" applyAlignment="1">
      <alignment vertical="top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u val="none"/>
        <color auto="1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</dxf>
  </dxfs>
  <tableStyles count="1" defaultTableStyle="TableStyleMedium2" defaultPivotStyle="PivotStyleMedium9">
    <tableStyle name="Invisible" pivot="0" table="0" count="0" xr9:uid="{3040C076-601D-4519-B0E5-0ABDBAD0FA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[TechRadarInputs.xlsx]Stats!PivotTable3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Building</a:t>
            </a:r>
            <a:r>
              <a:rPr lang="en-US" baseline="0"/>
              <a:t> block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Stats!$A$4:$A$8</c:f>
              <c:strCache>
                <c:ptCount val="4"/>
                <c:pt idx="0">
                  <c:v>Tech1</c:v>
                </c:pt>
                <c:pt idx="1">
                  <c:v>Tech2</c:v>
                </c:pt>
                <c:pt idx="2">
                  <c:v>Tech3</c:v>
                </c:pt>
                <c:pt idx="3">
                  <c:v>Tech4</c:v>
                </c:pt>
              </c:strCache>
            </c:strRef>
          </c:cat>
          <c:val>
            <c:numRef>
              <c:f>Stats!$B$4:$B$8</c:f>
              <c:numCache>
                <c:formatCode>General</c:formatCode>
                <c:ptCount val="4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A-42B3-BA37-587AE998C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0732799"/>
        <c:axId val="1926032303"/>
      </c:barChart>
      <c:catAx>
        <c:axId val="167073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26032303"/>
        <c:crosses val="autoZero"/>
        <c:auto val="1"/>
        <c:lblAlgn val="ctr"/>
        <c:lblOffset val="100"/>
        <c:noMultiLvlLbl val="0"/>
      </c:catAx>
      <c:valAx>
        <c:axId val="19260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67073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[TechRadarInputs.xlsx]Stats!PivotTable4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Source of</a:t>
            </a:r>
            <a:r>
              <a:rPr lang="en-US" baseline="0"/>
              <a:t> info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Stats!$A$12:$A$16</c:f>
              <c:strCache>
                <c:ptCount val="4"/>
                <c:pt idx="0">
                  <c:v>Catalogues</c:v>
                </c:pt>
                <c:pt idx="1">
                  <c:v>Internal</c:v>
                </c:pt>
                <c:pt idx="2">
                  <c:v>IP landscape</c:v>
                </c:pt>
                <c:pt idx="3">
                  <c:v>In use</c:v>
                </c:pt>
              </c:strCache>
            </c:strRef>
          </c:cat>
          <c:val>
            <c:numRef>
              <c:f>Stats!$B$12:$B$16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1-4CF7-B8EE-F09CC5E4B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726959"/>
        <c:axId val="1926018159"/>
      </c:barChart>
      <c:catAx>
        <c:axId val="170772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26018159"/>
        <c:crosses val="autoZero"/>
        <c:auto val="1"/>
        <c:lblAlgn val="ctr"/>
        <c:lblOffset val="100"/>
        <c:noMultiLvlLbl val="0"/>
      </c:catAx>
      <c:valAx>
        <c:axId val="192601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70772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163830</xdr:colOff>
      <xdr:row>2</xdr:row>
      <xdr:rowOff>86677</xdr:rowOff>
    </xdr:from>
    <xdr:to>
      <xdr:col>26</xdr:col>
      <xdr:colOff>95250</xdr:colOff>
      <xdr:row>17</xdr:row>
      <xdr:rowOff>122872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8F271-44A4-451E-B81D-5226D88C7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167640</xdr:colOff>
      <xdr:row>20</xdr:row>
      <xdr:rowOff>20002</xdr:rowOff>
    </xdr:from>
    <xdr:to>
      <xdr:col>26</xdr:col>
      <xdr:colOff>91440</xdr:colOff>
      <xdr:row>35</xdr:row>
      <xdr:rowOff>56197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61CA9-2356-4F62-B0A7-212883F05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o Meneghello" refreshedDate="44131.567795023147" createdVersion="6" refreshedVersion="6" minRefreshableVersion="3" recordCount="29" xr:uid="{AE605794-371F-4D09-BF0C-1A5DCE983587}">
  <cacheSource type="worksheet">
    <worksheetSource name="Table3"/>
  </cacheSource>
  <cacheFields count="14">
    <cacheField name="Number" numFmtId="0">
      <sharedItems containsSemiMixedTypes="0" containsString="0" containsNumber="1" containsInteger="1" minValue="1" maxValue="29"/>
    </cacheField>
    <cacheField name="Technology title" numFmtId="0">
      <sharedItems/>
    </cacheField>
    <cacheField name="Category_x000a_" numFmtId="0">
      <sharedItems containsMixedTypes="1" containsNumber="1" containsInteger="1" minValue="0" maxValue="3" count="7">
        <n v="0"/>
        <n v="3"/>
        <n v="1"/>
        <n v="2"/>
        <s v="Formula1" f="1"/>
        <s v="Formula2" f="1"/>
        <s v="Formula3" f="1"/>
      </sharedItems>
    </cacheField>
    <cacheField name="New technology?" numFmtId="0">
      <sharedItems containsNonDate="0" containsString="0" containsBlank="1"/>
    </cacheField>
    <cacheField name="Important development?" numFmtId="0">
      <sharedItems containsNonDate="0" containsString="0" containsBlank="1"/>
    </cacheField>
    <cacheField name="System changes?" numFmtId="0">
      <sharedItems containsNonDate="0" containsString="0" containsBlank="1"/>
    </cacheField>
    <cacheField name="Application changes?" numFmtId="0">
      <sharedItems containsNonDate="0" containsString="0" containsBlank="1"/>
    </cacheField>
    <cacheField name="Selection_x000a__x000a_" numFmtId="0">
      <sharedItems containsNonDate="0" containsString="0" containsBlank="1"/>
    </cacheField>
    <cacheField name="Effort level_x000a_" numFmtId="0">
      <sharedItems containsSemiMixedTypes="0" containsString="0" containsNumber="1" containsInteger="1" minValue="0" maxValue="3"/>
    </cacheField>
    <cacheField name="Importance_x000a_" numFmtId="0">
      <sharedItems containsSemiMixedTypes="0" containsString="0" containsNumber="1" containsInteger="1" minValue="-1" maxValue="1"/>
    </cacheField>
    <cacheField name="SharePoint link" numFmtId="0">
      <sharedItems containsBlank="1" longText="1"/>
    </cacheField>
    <cacheField name="One Pager" numFmtId="0">
      <sharedItems/>
    </cacheField>
    <cacheField name="Contact person" numFmtId="0">
      <sharedItems/>
    </cacheField>
    <cacheField name="Source of info" numFmtId="0">
      <sharedItems count="4">
        <s v="Internal"/>
        <s v="IP landscape"/>
        <s v="Catalogues"/>
        <s v="In use"/>
      </sharedItems>
    </cacheField>
  </cacheFields>
  <calculatedItems count="3"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s v="Monolith structure core"/>
    <x v="0"/>
    <m/>
    <m/>
    <m/>
    <m/>
    <m/>
    <n v="2"/>
    <n v="1"/>
    <s v="https://danfoss-my.sharepoint.com/personal/foulladpour_danfoss_com/Documents/Cost%20Down%20Enginnering/Projects/Filter%20dryer/Core%20investigation/300_FilterDrierSolidCore/Protocol_FilterDrierSolidCore_AlternativesChallenges&amp;CostCalculations.docx?web=1"/>
    <s v="yes"/>
    <s v="Ali?"/>
    <x v="0"/>
  </r>
  <r>
    <n v="2"/>
    <s v="Combined core and filter structure (Sanhua)"/>
    <x v="1"/>
    <m/>
    <m/>
    <m/>
    <m/>
    <m/>
    <n v="3"/>
    <n v="1"/>
    <s v="https://permalink.orbit.com/RenderStaticFirstPage?XPN=SCmvc4H9PjcnSAEzkE84YJNXe7dphUsu7KxJINoFg8I%3D%26n%3D1&amp;id=0&amp;base=FAMPAT"/>
    <s v="yes"/>
    <s v="GGI"/>
    <x v="1"/>
  </r>
  <r>
    <n v="3"/>
    <s v="Water/air purger (Hansen)"/>
    <x v="0"/>
    <m/>
    <m/>
    <m/>
    <m/>
    <m/>
    <n v="2"/>
    <n v="0"/>
    <s v="https://static1.squarespace.com/static/568fc9bac21b86decbc1965f/t/58ebca4d579fb3beba63aaa5/1491847758750/APP001c+-+June+2008.pdf"/>
    <s v="yes"/>
    <s v="N.A."/>
    <x v="2"/>
  </r>
  <r>
    <n v="4"/>
    <s v="Air purger (IPS 8)"/>
    <x v="2"/>
    <m/>
    <m/>
    <m/>
    <m/>
    <m/>
    <n v="0"/>
    <n v="0"/>
    <s v="https://assets.danfoss.com/documents/DOC308340935983/DOC308340935983.pdf"/>
    <s v="no"/>
    <s v="N.A."/>
    <x v="3"/>
  </r>
  <r>
    <n v="5"/>
    <s v="Ammonia dryer (Gea Grasso)"/>
    <x v="0"/>
    <m/>
    <m/>
    <m/>
    <m/>
    <m/>
    <n v="2"/>
    <n v="0"/>
    <s v="https://www.gea.com/en/products/refrigeration-heating/gea-ammonia-dryer.jsp"/>
    <s v="yes"/>
    <s v="N.A."/>
    <x v="2"/>
  </r>
  <r>
    <n v="6"/>
    <s v="Spherical bidirectional core (Parker)"/>
    <x v="1"/>
    <m/>
    <m/>
    <m/>
    <m/>
    <m/>
    <n v="3"/>
    <n v="1"/>
    <s v="https://permalink.orbit.com/RenderStaticFirstPage?XPN=N0aX%252BYoopBr4%252BC%252F5M6pym3fDUqlXTJ5uwQdFuycu4uk%3D%26n%3D1&amp;id=0&amp;base=FAMPAT"/>
    <s v="yes"/>
    <s v="GGI"/>
    <x v="1"/>
  </r>
  <r>
    <n v="7"/>
    <s v="Polyester feltmat"/>
    <x v="2"/>
    <m/>
    <m/>
    <m/>
    <m/>
    <m/>
    <n v="0"/>
    <n v="0"/>
    <m/>
    <s v="no"/>
    <s v="N.A."/>
    <x v="3"/>
  </r>
  <r>
    <n v="8"/>
    <s v="Filter drier with sensors for user alert (Parker)"/>
    <x v="2"/>
    <m/>
    <m/>
    <m/>
    <m/>
    <m/>
    <n v="2"/>
    <n v="1"/>
    <s v="https://danfoss.sharepoint.com/:p:/s/ProductTechnologyStrategy/ETkKK2YquPpMouGtEcgd34sBMuRj6CFGRnfzXbQ3hW-m0Q?e=sTVzBj"/>
    <s v="yes"/>
    <s v="GGI"/>
    <x v="1"/>
  </r>
  <r>
    <n v="9"/>
    <s v="Plastic Shell"/>
    <x v="1"/>
    <m/>
    <m/>
    <m/>
    <m/>
    <m/>
    <n v="1"/>
    <n v="0"/>
    <s v="https://teams.microsoft.com/l/file/75A0B3AB-F810-4DFE-BF2D-669FC701AACD?tenantId=097464b8-069c-453e-9254-c17ec707310d&amp;fileType=pdf&amp;objectUrl=https%3A%2F%2Fdanfoss.sharepoint.com%2Fsites%2FProductTechnologyStrategy%2FShared%20Documents%2FGeneral%2FArchive%2FBruce-Danfoss_Filter_Geh%C3%A4use_REV02_2019-11-18.pdf&amp;baseUrl=https%3A%2F%2Fdanfoss.sharepoint.com%2Fsites%2FProductTechnologyStrategy&amp;serviceName=teams&amp;threadId=19:31ceb553cab840399de26bf67df955ec@thread.skype&amp;groupId=b551b913-237e-487f-8b4a-78189d2ca53e"/>
    <s v="yes"/>
    <s v="Bruce"/>
    <x v="0"/>
  </r>
  <r>
    <n v="10"/>
    <s v="Circulation grooves on inlet cover (Sanhua)"/>
    <x v="0"/>
    <m/>
    <m/>
    <m/>
    <m/>
    <m/>
    <n v="3"/>
    <n v="-1"/>
    <s v="https://permalink.orbit.com/RenderStaticFirstPage?XPN=y3Yz6a18nVu2VIMa0HA13ZNXe7dphUsu7KxJINoFg8I%3D%26n%3D1&amp;id=0&amp;base=FAMPAT"/>
    <s v="yes"/>
    <s v="GGI"/>
    <x v="1"/>
  </r>
  <r>
    <n v="11"/>
    <s v="Filter layer around solid core (Sanhua)"/>
    <x v="2"/>
    <m/>
    <m/>
    <m/>
    <m/>
    <m/>
    <n v="3"/>
    <n v="-1"/>
    <s v="https://permalink.orbit.com/RenderStaticFirstPage?XPN=Hc3mvMko61yOyNk1Ee3fiJNXe7dphUsu7KxJINoFg8I%3D%26n%3D1&amp;id=0&amp;base=FAMPAT"/>
    <s v="yes"/>
    <s v="GGI"/>
    <x v="1"/>
  </r>
  <r>
    <n v="12"/>
    <s v="Buffer chamber after filter plate (Sanhua)"/>
    <x v="2"/>
    <m/>
    <m/>
    <m/>
    <m/>
    <m/>
    <n v="3"/>
    <n v="1"/>
    <s v="https://permalink.orbit.com/RenderStaticFirstPage?XPN=w2cCEaPc1R7jCoOEB2EWlnfDUqlXTJ5uwQdFuycu4uk%3D%26n%3D1&amp;id=0&amp;base=FAMPAT"/>
    <s v="yes"/>
    <s v="GGI"/>
    <x v="1"/>
  </r>
  <r>
    <n v="13"/>
    <s v="Detachable filter drier (Parker)"/>
    <x v="1"/>
    <m/>
    <m/>
    <m/>
    <m/>
    <m/>
    <n v="3"/>
    <n v="-1"/>
    <s v="https://permalink.orbit.com/RenderStaticFirstPage?XPN=MmrCdPfOpZEkIseuZagJI7msLuw%252FR4oY%252BQgpgFzVRnM%3D%26n%3D1&amp;id=0&amp;base=FAMPAT"/>
    <s v="yes"/>
    <s v="GGI"/>
    <x v="1"/>
  </r>
  <r>
    <n v="14"/>
    <s v="Solid core "/>
    <x v="0"/>
    <m/>
    <m/>
    <m/>
    <m/>
    <m/>
    <n v="0"/>
    <n v="0"/>
    <m/>
    <s v="no"/>
    <s v="N.A."/>
    <x v="3"/>
  </r>
  <r>
    <n v="15"/>
    <s v="Modular core"/>
    <x v="0"/>
    <m/>
    <m/>
    <m/>
    <m/>
    <m/>
    <n v="2"/>
    <n v="0"/>
    <m/>
    <s v="no"/>
    <s v="Krishnamoorthy/Everardo"/>
    <x v="0"/>
  </r>
  <r>
    <n v="16"/>
    <s v="4A Molecular Sieve"/>
    <x v="0"/>
    <m/>
    <m/>
    <m/>
    <m/>
    <m/>
    <n v="1"/>
    <n v="0"/>
    <s v="https://danfoss-my.sharepoint.com/personal/foulladpour_danfoss_com/Documents/Cost%20Down%20Enginnering/Projects/Filter%20dryer/Core%20investigation/300_FilterDrierSolidCore/Protocol_FilterDrierSolidCore_AlternativesChallenges&amp;CostCalculations.docx?web=1"/>
    <s v="yes"/>
    <s v="Ali"/>
    <x v="0"/>
  </r>
  <r>
    <n v="17"/>
    <s v="Metal sheet shell"/>
    <x v="1"/>
    <m/>
    <m/>
    <m/>
    <m/>
    <m/>
    <n v="0"/>
    <n v="0"/>
    <m/>
    <s v="no"/>
    <s v="N.A."/>
    <x v="0"/>
  </r>
  <r>
    <n v="18"/>
    <s v="Aluminum Spinning Housing"/>
    <x v="1"/>
    <m/>
    <m/>
    <m/>
    <m/>
    <m/>
    <n v="1"/>
    <n v="0"/>
    <s v="https://danfoss.sharepoint.com/sites/ProductTechnologyStrategy/_layouts/15/Doc.aspx?OR=teams&amp;action=edit&amp;sourcedoc={6D5A5EF9-7EBB-4A21-A56A-9C42B5E18FDE}"/>
    <s v="yes"/>
    <s v="N.A:"/>
    <x v="0"/>
  </r>
  <r>
    <n v="19"/>
    <s v="Additional filter in the spring (Sanhua)"/>
    <x v="2"/>
    <m/>
    <m/>
    <m/>
    <m/>
    <m/>
    <n v="3"/>
    <n v="0"/>
    <s v="https://www.lens.org/lens/patent/183-208-649-463-739"/>
    <s v="yes"/>
    <s v="IP Stefano"/>
    <x v="1"/>
  </r>
  <r>
    <n v="20"/>
    <s v="Stainless steel housing"/>
    <x v="1"/>
    <m/>
    <m/>
    <m/>
    <m/>
    <m/>
    <n v="2"/>
    <n v="0"/>
    <m/>
    <s v="no"/>
    <s v="Mario De La Rosa"/>
    <x v="0"/>
  </r>
  <r>
    <n v="21"/>
    <s v="Clamping mechanism"/>
    <x v="1"/>
    <m/>
    <m/>
    <m/>
    <m/>
    <m/>
    <n v="3"/>
    <n v="0"/>
    <s v="https://permalink.orbit.com/RenderStaticFirstPage?XPN=oeTDsN2cVxPh7svUaWmo55NXe7dphUsu7KxJINoFg8I%3D%26n%3D1&amp;id=0&amp;base=FAMPAT"/>
    <s v="yes"/>
    <s v="GGI"/>
    <x v="1"/>
  </r>
  <r>
    <n v="22"/>
    <s v="Plastic Molecular Sieve"/>
    <x v="0"/>
    <m/>
    <m/>
    <m/>
    <m/>
    <m/>
    <n v="3"/>
    <n v="0"/>
    <m/>
    <s v="no"/>
    <s v="Jose Everardo"/>
    <x v="0"/>
  </r>
  <r>
    <n v="23"/>
    <s v="Activated allumina in core"/>
    <x v="3"/>
    <m/>
    <m/>
    <m/>
    <m/>
    <m/>
    <n v="0"/>
    <n v="0"/>
    <m/>
    <s v="no"/>
    <s v="N.A"/>
    <x v="3"/>
  </r>
  <r>
    <n v="24"/>
    <s v="Epoxy binder alternatives"/>
    <x v="0"/>
    <m/>
    <m/>
    <m/>
    <m/>
    <m/>
    <n v="2"/>
    <n v="0"/>
    <m/>
    <s v="no"/>
    <s v="Rasmus"/>
    <x v="0"/>
  </r>
  <r>
    <n v="25"/>
    <s v="Water adsorption resin"/>
    <x v="0"/>
    <m/>
    <m/>
    <m/>
    <m/>
    <m/>
    <n v="3"/>
    <n v="0"/>
    <m/>
    <s v="yes"/>
    <s v="IP Stefano"/>
    <x v="1"/>
  </r>
  <r>
    <n v="26"/>
    <s v="Loose beads core"/>
    <x v="0"/>
    <m/>
    <m/>
    <m/>
    <m/>
    <m/>
    <n v="3"/>
    <n v="0"/>
    <m/>
    <s v="no"/>
    <s v="Rasmus"/>
    <x v="0"/>
  </r>
  <r>
    <n v="27"/>
    <s v="Membrane technology"/>
    <x v="0"/>
    <m/>
    <m/>
    <m/>
    <m/>
    <m/>
    <n v="3"/>
    <n v="0"/>
    <m/>
    <s v="no"/>
    <s v="Stefano/Vahid"/>
    <x v="2"/>
  </r>
  <r>
    <n v="28"/>
    <s v="Acid removal device"/>
    <x v="3"/>
    <m/>
    <m/>
    <m/>
    <m/>
    <m/>
    <n v="3"/>
    <n v="0"/>
    <m/>
    <s v="no"/>
    <s v="Rasmus"/>
    <x v="0"/>
  </r>
  <r>
    <n v="29"/>
    <s v="Drying agent "/>
    <x v="0"/>
    <m/>
    <m/>
    <m/>
    <m/>
    <m/>
    <n v="3"/>
    <n v="0"/>
    <m/>
    <s v="no"/>
    <s v="IP Stefan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C9EF6-E1B0-403F-A525-708876289DDD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:B16" firstHeaderRow="1" firstDataRow="1" firstDataCol="1"/>
  <pivotFields count="14">
    <pivotField showAll="0"/>
    <pivotField dataField="1" showAll="0"/>
    <pivotField showAll="0">
      <items count="8">
        <item x="0"/>
        <item x="2"/>
        <item x="3"/>
        <item x="1"/>
        <item f="1" x="4"/>
        <item f="1" x="5"/>
        <item f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chnology titl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345BB-5060-4B5E-9A09-824BCD105435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8" firstHeaderRow="1" firstDataRow="1" firstDataCol="1"/>
  <pivotFields count="14">
    <pivotField showAll="0"/>
    <pivotField dataField="1" showAll="0"/>
    <pivotField axis="axisRow" showAll="0">
      <items count="8">
        <item n="Tech1" x="0"/>
        <item n="Tech2" f="1" x="4"/>
        <item n="Tech3" f="1" x="5"/>
        <item n="Tech4" f="1" x="6"/>
        <item n="Particle removal" x="2"/>
        <item n="Acid removal" x="3"/>
        <item n="Encapsulation/Sealing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echnology titl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89F0C8-E707-4F16-93CB-795FA368DF9D}" name="Table3" displayName="Table3" ref="A3:J26" totalsRowShown="0" headerRowDxfId="15" dataDxfId="13" headerRowBorderDxfId="14" tableBorderDxfId="12">
  <autoFilter ref="A3:J26" xr:uid="{CD89F0C8-E707-4F16-93CB-795FA368DF9D}"/>
  <sortState xmlns:xlrd2="http://schemas.microsoft.com/office/spreadsheetml/2017/richdata2" ref="A4:J21">
    <sortCondition ref="C3:C21"/>
  </sortState>
  <tableColumns count="10">
    <tableColumn id="1" xr3:uid="{174B5FA3-269F-421C-9171-3A09B4619178}" name="Number" dataDxfId="11"/>
    <tableColumn id="2" xr3:uid="{E240AD80-B10D-443F-9A5B-CCEF75AC5769}" name="Technology title" dataDxfId="10"/>
    <tableColumn id="3" xr3:uid="{81BC5623-224C-4EE4-82A8-BE3D2B910A5B}" name="Category" dataDxfId="9"/>
    <tableColumn id="9" xr3:uid="{D64D8B65-15BE-4F47-B955-D932F21AF6E8}" name="Effort level" dataDxfId="8"/>
    <tableColumn id="10" xr3:uid="{7DE59330-7B59-4214-9BB6-9C2CA0ED382B}" name="Importance" dataDxfId="7"/>
    <tableColumn id="15" xr3:uid="{791151AE-CC2C-480E-B18A-762EAD3598AF}" name="Color" dataDxfId="6"/>
    <tableColumn id="11" xr3:uid="{044F9C19-B9C8-4ACD-8340-83BDB9E30097}" name="SharePoint link" dataDxfId="5"/>
    <tableColumn id="12" xr3:uid="{BEF193BD-1A14-4BB5-8803-A2B6B6DE7A3E}" name="One Pager" dataDxfId="4" dataCellStyle="Hyperlink"/>
    <tableColumn id="13" xr3:uid="{A14E32CC-F81D-424E-B9F9-AD0B549C45B1}" name="Contact person" dataDxfId="3"/>
    <tableColumn id="14" xr3:uid="{DE963672-AE00-4849-9AE2-4914C9681E92}" name="Source of info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2C086-25F6-4243-9DED-3C2DB804960B}" name="Table1" displayName="Table1" ref="B2:G9" totalsRowShown="0">
  <autoFilter ref="B2:G9" xr:uid="{7E30EFE9-A1BF-4FC9-9039-154BF3C3EBAB}"/>
  <tableColumns count="6">
    <tableColumn id="1" xr3:uid="{0400A6E4-4766-417F-90A4-BBB94A20DAD9}" name="Contact"/>
    <tableColumn id="2" xr3:uid="{684C0A62-3E6F-4D49-A58C-895815943435}" name="When"/>
    <tableColumn id="3" xr3:uid="{DC06AD13-FA28-48ED-93CA-15B5A65668AF}" name="Topic"/>
    <tableColumn id="4" xr3:uid="{57073080-ACB8-472D-8910-DEE5D9279DF5}" name="Reply"/>
    <tableColumn id="5" xr3:uid="{26D724EC-D5B1-4808-9AD3-F177998E68EA}" name="Action taken"/>
    <tableColumn id="6" xr3:uid="{333ADED8-F786-4974-B17C-FC1CED4A5407}" name="To 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miro.com/app/board/o9J_lRN4N9k=/?moveToWidget=3074457357962256366&amp;cot=14" TargetMode="External"/><Relationship Id="rId7" Type="http://schemas.openxmlformats.org/officeDocument/2006/relationships/hyperlink" Target="https://miro.com/app/board/o9J_lRN4N9k=/?moveToWidget=3074457357960150970&amp;cot=14" TargetMode="External"/><Relationship Id="rId2" Type="http://schemas.openxmlformats.org/officeDocument/2006/relationships/hyperlink" Target="https://miro.com/app/board/o9J_lRN4N9k=/?moveToWidget=3074457357960150969&amp;cot=14" TargetMode="External"/><Relationship Id="rId1" Type="http://schemas.openxmlformats.org/officeDocument/2006/relationships/hyperlink" Target="https://miro.com/app/board/o9J_lRN4N9k=/?moveToWidget=3074457357960150966&amp;cot=14" TargetMode="External"/><Relationship Id="rId6" Type="http://schemas.openxmlformats.org/officeDocument/2006/relationships/hyperlink" Target="https://miro.com/app/board/o9J_lRN4N9k=/?moveToWidget=3074457357960150972&amp;cot=14" TargetMode="External"/><Relationship Id="rId5" Type="http://schemas.openxmlformats.org/officeDocument/2006/relationships/hyperlink" Target="https://miro.com/app/board/o9J_lRN4N9k=/?moveToWidget=3074457357960150977&amp;cot=14" TargetMode="External"/><Relationship Id="rId4" Type="http://schemas.openxmlformats.org/officeDocument/2006/relationships/hyperlink" Target="https://miro.com/app/board/o9J_lRN4N9k=/?moveToWidget=3074457357960150971&amp;cot=14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9AA0-FFE0-4C61-80D2-220AFF437827}">
  <dimension ref="A1:A9"/>
  <sheetViews>
    <sheetView showGridLines="0" tabSelected="1" zoomScale="175" zoomScaleNormal="175" workbookViewId="0">
      <selection activeCell="M6" sqref="M6"/>
    </sheetView>
  </sheetViews>
  <sheetFormatPr defaultRowHeight="15" x14ac:dyDescent="0.25"/>
  <cols>
    <col min="1" max="1" width="43" customWidth="1"/>
  </cols>
  <sheetData>
    <row r="1" spans="1:1" ht="19.5" thickBot="1" x14ac:dyDescent="0.35">
      <c r="A1" s="7" t="s">
        <v>23</v>
      </c>
    </row>
    <row r="2" spans="1:1" ht="15.75" thickBot="1" x14ac:dyDescent="0.3">
      <c r="A2" s="10" t="s">
        <v>119</v>
      </c>
    </row>
    <row r="3" spans="1:1" ht="15.75" thickBot="1" x14ac:dyDescent="0.3">
      <c r="A3" s="10" t="s">
        <v>120</v>
      </c>
    </row>
    <row r="4" spans="1:1" ht="15.75" thickBot="1" x14ac:dyDescent="0.3">
      <c r="A4" s="10" t="s">
        <v>121</v>
      </c>
    </row>
    <row r="5" spans="1:1" x14ac:dyDescent="0.25">
      <c r="A5" s="10" t="s">
        <v>122</v>
      </c>
    </row>
    <row r="6" spans="1:1" x14ac:dyDescent="0.25">
      <c r="A6" s="11"/>
    </row>
    <row r="7" spans="1:1" ht="39.75" customHeight="1" x14ac:dyDescent="0.25">
      <c r="A7" s="8"/>
    </row>
    <row r="8" spans="1:1" ht="45" customHeight="1" x14ac:dyDescent="0.25">
      <c r="A8" s="8"/>
    </row>
    <row r="9" spans="1:1" ht="36" customHeight="1" thickBot="1" x14ac:dyDescent="0.3">
      <c r="A9" s="9"/>
    </row>
  </sheetData>
  <phoneticPr fontId="5" type="noConversion"/>
  <pageMargins left="0.7" right="0.7" top="0.75" bottom="0.75" header="0.3" footer="0.3"/>
  <pageSetup paperSize="9" orientation="portrait" r:id="rId1"/>
  <headerFooter>
    <oddFooter>&amp;C&amp;1#&amp;"Calibri"&amp;10&amp;K000000Classified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6"/>
  <sheetViews>
    <sheetView zoomScaleNormal="100" workbookViewId="0">
      <pane xSplit="2" topLeftCell="C1" activePane="topRight" state="frozen"/>
      <selection pane="topRight" activeCell="B3" sqref="B3"/>
    </sheetView>
  </sheetViews>
  <sheetFormatPr defaultColWidth="9.140625" defaultRowHeight="15" x14ac:dyDescent="0.25"/>
  <cols>
    <col min="1" max="1" width="9.85546875" style="1" customWidth="1"/>
    <col min="2" max="2" width="47.5703125" style="1" customWidth="1"/>
    <col min="3" max="3" width="30.85546875" style="1" bestFit="1" customWidth="1"/>
    <col min="4" max="4" width="12.5703125" style="1" customWidth="1"/>
    <col min="5" max="5" width="22.140625" style="1" bestFit="1" customWidth="1"/>
    <col min="6" max="6" width="17.42578125" style="1" bestFit="1" customWidth="1"/>
    <col min="7" max="7" width="20.7109375" style="1" customWidth="1"/>
    <col min="8" max="8" width="19.5703125" style="1" customWidth="1"/>
    <col min="9" max="9" width="15" style="1" customWidth="1"/>
    <col min="10" max="10" width="16" style="1" customWidth="1"/>
    <col min="11" max="16384" width="9.140625" style="1"/>
  </cols>
  <sheetData>
    <row r="2" spans="1:10" ht="75.75" thickBot="1" x14ac:dyDescent="0.3">
      <c r="B2" s="2" t="s">
        <v>124</v>
      </c>
      <c r="C2" s="3" t="s">
        <v>123</v>
      </c>
      <c r="D2" s="3" t="s">
        <v>15</v>
      </c>
      <c r="E2" s="3" t="s">
        <v>37</v>
      </c>
      <c r="F2" s="3" t="s">
        <v>36</v>
      </c>
      <c r="G2" s="3" t="s">
        <v>40</v>
      </c>
    </row>
    <row r="3" spans="1:10" ht="53.25" thickBot="1" x14ac:dyDescent="0.3">
      <c r="A3" s="4" t="s">
        <v>2</v>
      </c>
      <c r="B3" s="14" t="s">
        <v>1</v>
      </c>
      <c r="C3" s="14" t="s">
        <v>20</v>
      </c>
      <c r="D3" s="14" t="s">
        <v>21</v>
      </c>
      <c r="E3" s="15" t="s">
        <v>22</v>
      </c>
      <c r="F3" s="15" t="s">
        <v>32</v>
      </c>
      <c r="G3" s="16" t="s">
        <v>0</v>
      </c>
      <c r="H3" s="17" t="s">
        <v>10</v>
      </c>
      <c r="I3" s="16" t="s">
        <v>3</v>
      </c>
      <c r="J3" s="18" t="s">
        <v>11</v>
      </c>
    </row>
    <row r="4" spans="1:10" x14ac:dyDescent="0.25">
      <c r="A4" s="19">
        <v>1</v>
      </c>
      <c r="B4" t="s">
        <v>41</v>
      </c>
      <c r="C4" s="19">
        <v>0</v>
      </c>
      <c r="D4" s="19">
        <v>2</v>
      </c>
      <c r="E4" s="19">
        <v>1</v>
      </c>
      <c r="F4" s="19">
        <v>0</v>
      </c>
      <c r="G4" t="s">
        <v>24</v>
      </c>
      <c r="H4" t="s">
        <v>24</v>
      </c>
      <c r="I4" t="s">
        <v>92</v>
      </c>
      <c r="J4" t="s">
        <v>12</v>
      </c>
    </row>
    <row r="5" spans="1:10" x14ac:dyDescent="0.25">
      <c r="A5" s="19">
        <v>2</v>
      </c>
      <c r="B5" t="s">
        <v>42</v>
      </c>
      <c r="C5" s="19">
        <v>3</v>
      </c>
      <c r="D5" s="19">
        <v>2</v>
      </c>
      <c r="E5" s="19">
        <v>1</v>
      </c>
      <c r="F5" s="19">
        <v>0</v>
      </c>
      <c r="G5" t="s">
        <v>25</v>
      </c>
      <c r="H5" t="s">
        <v>71</v>
      </c>
      <c r="I5" t="s">
        <v>93</v>
      </c>
      <c r="J5" t="s">
        <v>12</v>
      </c>
    </row>
    <row r="6" spans="1:10" x14ac:dyDescent="0.25">
      <c r="A6" s="19">
        <v>3</v>
      </c>
      <c r="B6" t="s">
        <v>43</v>
      </c>
      <c r="C6" s="19">
        <v>1</v>
      </c>
      <c r="D6" s="19">
        <v>1</v>
      </c>
      <c r="E6" s="19">
        <v>1</v>
      </c>
      <c r="F6" s="19">
        <v>0</v>
      </c>
      <c r="G6" t="s">
        <v>26</v>
      </c>
      <c r="H6" t="s">
        <v>72</v>
      </c>
      <c r="I6" t="s">
        <v>94</v>
      </c>
      <c r="J6" t="s">
        <v>12</v>
      </c>
    </row>
    <row r="7" spans="1:10" x14ac:dyDescent="0.25">
      <c r="A7" s="19">
        <v>4</v>
      </c>
      <c r="B7" t="s">
        <v>44</v>
      </c>
      <c r="C7" s="19">
        <v>1</v>
      </c>
      <c r="D7" s="19">
        <v>1</v>
      </c>
      <c r="E7" s="19">
        <v>0</v>
      </c>
      <c r="F7" s="19">
        <v>0</v>
      </c>
      <c r="G7" t="s">
        <v>27</v>
      </c>
      <c r="H7" t="s">
        <v>73</v>
      </c>
      <c r="I7" t="s">
        <v>95</v>
      </c>
      <c r="J7" t="s">
        <v>12</v>
      </c>
    </row>
    <row r="8" spans="1:10" x14ac:dyDescent="0.25">
      <c r="A8" s="19">
        <v>5</v>
      </c>
      <c r="B8" t="s">
        <v>45</v>
      </c>
      <c r="C8" s="19">
        <v>0</v>
      </c>
      <c r="D8" s="19">
        <v>1</v>
      </c>
      <c r="E8" s="19">
        <v>0</v>
      </c>
      <c r="F8" s="19">
        <v>1</v>
      </c>
      <c r="G8" t="s">
        <v>28</v>
      </c>
      <c r="H8" t="s">
        <v>74</v>
      </c>
      <c r="I8" t="s">
        <v>96</v>
      </c>
      <c r="J8" t="s">
        <v>12</v>
      </c>
    </row>
    <row r="9" spans="1:10" x14ac:dyDescent="0.25">
      <c r="A9" s="19">
        <v>7</v>
      </c>
      <c r="B9" t="s">
        <v>46</v>
      </c>
      <c r="C9" s="19">
        <v>0</v>
      </c>
      <c r="D9" s="19">
        <v>2</v>
      </c>
      <c r="E9" s="19">
        <v>-1</v>
      </c>
      <c r="F9" s="19">
        <v>2</v>
      </c>
      <c r="G9" t="s">
        <v>29</v>
      </c>
      <c r="H9" t="s">
        <v>75</v>
      </c>
      <c r="I9" t="s">
        <v>97</v>
      </c>
      <c r="J9" t="s">
        <v>12</v>
      </c>
    </row>
    <row r="10" spans="1:10" x14ac:dyDescent="0.25">
      <c r="A10" s="19">
        <v>8</v>
      </c>
      <c r="B10" t="s">
        <v>47</v>
      </c>
      <c r="C10" s="19">
        <v>3</v>
      </c>
      <c r="D10" s="19">
        <v>3</v>
      </c>
      <c r="E10" s="19">
        <v>-1</v>
      </c>
      <c r="F10" s="19">
        <v>2</v>
      </c>
      <c r="G10" t="s">
        <v>30</v>
      </c>
      <c r="H10" t="s">
        <v>76</v>
      </c>
      <c r="I10" t="s">
        <v>98</v>
      </c>
      <c r="J10" t="s">
        <v>12</v>
      </c>
    </row>
    <row r="11" spans="1:10" x14ac:dyDescent="0.25">
      <c r="A11" s="19">
        <v>9</v>
      </c>
      <c r="B11" t="s">
        <v>48</v>
      </c>
      <c r="C11" s="19">
        <v>2</v>
      </c>
      <c r="D11" s="19">
        <v>3</v>
      </c>
      <c r="E11" s="19">
        <v>0</v>
      </c>
      <c r="F11" s="19">
        <v>0</v>
      </c>
      <c r="G11" t="s">
        <v>31</v>
      </c>
      <c r="H11" t="s">
        <v>77</v>
      </c>
      <c r="I11" t="s">
        <v>99</v>
      </c>
      <c r="J11" t="s">
        <v>12</v>
      </c>
    </row>
    <row r="12" spans="1:10" x14ac:dyDescent="0.25">
      <c r="A12" s="19">
        <v>10</v>
      </c>
      <c r="B12" t="s">
        <v>49</v>
      </c>
      <c r="C12" s="12">
        <v>0</v>
      </c>
      <c r="D12" s="12">
        <v>2</v>
      </c>
      <c r="E12" s="12">
        <v>0</v>
      </c>
      <c r="F12" s="12">
        <v>0</v>
      </c>
      <c r="G12" s="12" t="s">
        <v>33</v>
      </c>
      <c r="H12" t="s">
        <v>78</v>
      </c>
      <c r="I12" t="s">
        <v>100</v>
      </c>
      <c r="J12" s="12" t="s">
        <v>12</v>
      </c>
    </row>
    <row r="13" spans="1:10" x14ac:dyDescent="0.25">
      <c r="A13" s="19">
        <v>11</v>
      </c>
      <c r="B13" t="s">
        <v>50</v>
      </c>
      <c r="C13" s="12">
        <v>1</v>
      </c>
      <c r="D13" s="12">
        <v>3</v>
      </c>
      <c r="E13" s="12">
        <v>0</v>
      </c>
      <c r="F13" s="12">
        <v>1</v>
      </c>
      <c r="G13" s="12" t="s">
        <v>34</v>
      </c>
      <c r="H13" t="s">
        <v>79</v>
      </c>
      <c r="I13" t="s">
        <v>101</v>
      </c>
      <c r="J13" s="12" t="s">
        <v>12</v>
      </c>
    </row>
    <row r="14" spans="1:10" x14ac:dyDescent="0.25">
      <c r="A14" s="19">
        <v>12</v>
      </c>
      <c r="B14" t="s">
        <v>51</v>
      </c>
      <c r="C14" s="12">
        <v>0</v>
      </c>
      <c r="D14" s="12">
        <v>3</v>
      </c>
      <c r="E14" s="12">
        <v>-1</v>
      </c>
      <c r="F14" s="12">
        <v>1</v>
      </c>
      <c r="G14" s="12" t="s">
        <v>35</v>
      </c>
      <c r="H14" t="s">
        <v>80</v>
      </c>
      <c r="I14" t="s">
        <v>102</v>
      </c>
      <c r="J14" t="s">
        <v>12</v>
      </c>
    </row>
    <row r="15" spans="1:10" x14ac:dyDescent="0.25">
      <c r="A15" s="19">
        <v>13</v>
      </c>
      <c r="B15" t="s">
        <v>52</v>
      </c>
      <c r="C15" s="12">
        <v>0</v>
      </c>
      <c r="D15" s="12">
        <v>3</v>
      </c>
      <c r="E15" s="12">
        <v>-1</v>
      </c>
      <c r="F15" s="12">
        <v>1</v>
      </c>
      <c r="G15" s="12" t="s">
        <v>38</v>
      </c>
      <c r="H15" t="s">
        <v>81</v>
      </c>
      <c r="I15" t="s">
        <v>103</v>
      </c>
      <c r="J15" t="s">
        <v>12</v>
      </c>
    </row>
    <row r="16" spans="1:10" x14ac:dyDescent="0.25">
      <c r="A16" s="19">
        <v>14</v>
      </c>
      <c r="B16" t="s">
        <v>53</v>
      </c>
      <c r="C16" s="12">
        <v>2</v>
      </c>
      <c r="D16" s="12">
        <v>3</v>
      </c>
      <c r="E16" s="12">
        <v>-1</v>
      </c>
      <c r="F16" s="12">
        <v>1</v>
      </c>
      <c r="G16" s="12" t="s">
        <v>31</v>
      </c>
      <c r="H16" t="s">
        <v>82</v>
      </c>
      <c r="I16" t="s">
        <v>104</v>
      </c>
      <c r="J16" t="s">
        <v>12</v>
      </c>
    </row>
    <row r="17" spans="1:10" x14ac:dyDescent="0.25">
      <c r="A17" s="19">
        <v>15</v>
      </c>
      <c r="B17" t="s">
        <v>54</v>
      </c>
      <c r="C17" s="12">
        <v>0</v>
      </c>
      <c r="D17" s="12">
        <v>3</v>
      </c>
      <c r="E17" s="12">
        <v>-1</v>
      </c>
      <c r="F17" s="12">
        <v>1</v>
      </c>
      <c r="G17" s="12" t="s">
        <v>39</v>
      </c>
      <c r="H17" t="s">
        <v>83</v>
      </c>
      <c r="I17" t="s">
        <v>105</v>
      </c>
      <c r="J17" t="s">
        <v>12</v>
      </c>
    </row>
    <row r="18" spans="1:10" x14ac:dyDescent="0.25">
      <c r="A18" s="19">
        <v>16</v>
      </c>
      <c r="B18" t="s">
        <v>55</v>
      </c>
      <c r="C18" s="12">
        <v>1</v>
      </c>
      <c r="D18" s="12">
        <v>3</v>
      </c>
      <c r="E18" s="12">
        <v>-1</v>
      </c>
      <c r="F18" s="12">
        <v>1</v>
      </c>
      <c r="G18" s="12" t="s">
        <v>63</v>
      </c>
      <c r="H18" t="s">
        <v>84</v>
      </c>
      <c r="I18" t="s">
        <v>106</v>
      </c>
      <c r="J18" t="s">
        <v>12</v>
      </c>
    </row>
    <row r="19" spans="1:10" x14ac:dyDescent="0.25">
      <c r="A19" s="19">
        <v>18</v>
      </c>
      <c r="B19" t="s">
        <v>56</v>
      </c>
      <c r="C19" s="12">
        <v>2</v>
      </c>
      <c r="D19" s="12">
        <v>1</v>
      </c>
      <c r="E19" s="12">
        <v>0</v>
      </c>
      <c r="F19" s="12">
        <v>1</v>
      </c>
      <c r="G19" s="12" t="s">
        <v>64</v>
      </c>
      <c r="H19" t="s">
        <v>85</v>
      </c>
      <c r="I19" t="s">
        <v>107</v>
      </c>
      <c r="J19" t="s">
        <v>12</v>
      </c>
    </row>
    <row r="20" spans="1:10" x14ac:dyDescent="0.25">
      <c r="A20" s="19">
        <v>19</v>
      </c>
      <c r="B20" t="s">
        <v>57</v>
      </c>
      <c r="C20" s="12">
        <v>3</v>
      </c>
      <c r="D20" s="12">
        <v>1</v>
      </c>
      <c r="E20" s="12">
        <v>0</v>
      </c>
      <c r="F20" s="12">
        <v>2</v>
      </c>
      <c r="G20" s="12" t="s">
        <v>65</v>
      </c>
      <c r="H20" t="s">
        <v>86</v>
      </c>
      <c r="I20" t="s">
        <v>108</v>
      </c>
      <c r="J20" t="s">
        <v>12</v>
      </c>
    </row>
    <row r="21" spans="1:10" x14ac:dyDescent="0.25">
      <c r="A21" s="19">
        <v>20</v>
      </c>
      <c r="B21" t="s">
        <v>58</v>
      </c>
      <c r="C21" s="12">
        <v>1</v>
      </c>
      <c r="D21" s="12">
        <v>1</v>
      </c>
      <c r="E21" s="12">
        <v>1</v>
      </c>
      <c r="F21" s="12">
        <v>1</v>
      </c>
      <c r="G21" s="12" t="s">
        <v>66</v>
      </c>
      <c r="H21" t="s">
        <v>87</v>
      </c>
      <c r="I21" t="s">
        <v>109</v>
      </c>
      <c r="J21" t="s">
        <v>12</v>
      </c>
    </row>
    <row r="22" spans="1:10" x14ac:dyDescent="0.25">
      <c r="A22" s="19">
        <v>21</v>
      </c>
      <c r="B22" t="s">
        <v>59</v>
      </c>
      <c r="C22" s="12">
        <v>1</v>
      </c>
      <c r="D22" s="12">
        <v>2</v>
      </c>
      <c r="E22" s="12">
        <v>-1</v>
      </c>
      <c r="F22" s="12">
        <v>2</v>
      </c>
      <c r="G22" s="12" t="s">
        <v>67</v>
      </c>
      <c r="H22" t="s">
        <v>88</v>
      </c>
      <c r="I22" t="s">
        <v>110</v>
      </c>
      <c r="J22" t="s">
        <v>114</v>
      </c>
    </row>
    <row r="23" spans="1:10" x14ac:dyDescent="0.25">
      <c r="A23" s="19">
        <v>22</v>
      </c>
      <c r="B23" t="s">
        <v>60</v>
      </c>
      <c r="C23" s="12">
        <v>3</v>
      </c>
      <c r="D23" s="12">
        <v>0</v>
      </c>
      <c r="E23" s="12">
        <v>1</v>
      </c>
      <c r="F23" s="12">
        <v>0</v>
      </c>
      <c r="G23" s="12" t="s">
        <v>68</v>
      </c>
      <c r="H23" t="s">
        <v>89</v>
      </c>
      <c r="I23" t="s">
        <v>111</v>
      </c>
      <c r="J23" t="s">
        <v>114</v>
      </c>
    </row>
    <row r="24" spans="1:10" x14ac:dyDescent="0.25">
      <c r="A24" s="19">
        <v>23</v>
      </c>
      <c r="B24" t="s">
        <v>61</v>
      </c>
      <c r="C24" s="12">
        <v>1</v>
      </c>
      <c r="D24" s="12">
        <v>2</v>
      </c>
      <c r="E24" s="12">
        <v>0</v>
      </c>
      <c r="F24" s="12">
        <v>1</v>
      </c>
      <c r="G24" s="12" t="s">
        <v>69</v>
      </c>
      <c r="H24" t="s">
        <v>90</v>
      </c>
      <c r="I24" t="s">
        <v>112</v>
      </c>
      <c r="J24" t="s">
        <v>114</v>
      </c>
    </row>
    <row r="25" spans="1:10" x14ac:dyDescent="0.25">
      <c r="A25" s="19">
        <v>24</v>
      </c>
      <c r="B25" t="s">
        <v>62</v>
      </c>
      <c r="C25" s="12">
        <v>1</v>
      </c>
      <c r="D25" s="12">
        <v>2</v>
      </c>
      <c r="E25" s="12">
        <v>-1</v>
      </c>
      <c r="F25" s="12">
        <v>2</v>
      </c>
      <c r="G25" s="12" t="s">
        <v>70</v>
      </c>
      <c r="H25" t="s">
        <v>91</v>
      </c>
      <c r="I25" t="s">
        <v>113</v>
      </c>
      <c r="J25" t="s">
        <v>114</v>
      </c>
    </row>
    <row r="26" spans="1:10" x14ac:dyDescent="0.25">
      <c r="A26" s="12"/>
      <c r="B26" s="12"/>
      <c r="C26" s="12"/>
      <c r="D26" s="12"/>
      <c r="E26" s="12"/>
      <c r="F26" s="12"/>
      <c r="G26" s="12"/>
      <c r="H26" s="13"/>
      <c r="I26" s="12"/>
      <c r="J26" s="12"/>
    </row>
  </sheetData>
  <phoneticPr fontId="5" type="noConversion"/>
  <conditionalFormatting sqref="H1:H3 H26">
    <cfRule type="cellIs" dxfId="1" priority="1" operator="equal">
      <formula>"no"</formula>
    </cfRule>
  </conditionalFormatting>
  <conditionalFormatting sqref="H27:H1048576">
    <cfRule type="cellIs" dxfId="0" priority="8" operator="equal">
      <formula>"no"</formula>
    </cfRule>
  </conditionalFormatting>
  <hyperlinks>
    <hyperlink ref="G5" r:id="rId1" xr:uid="{E1A778BC-346F-426E-A9CB-1F143CC05948}"/>
    <hyperlink ref="G6" r:id="rId2" xr:uid="{F7AE8C77-D5C1-4648-8898-93FBB5CD1D76}"/>
    <hyperlink ref="G7" r:id="rId3" xr:uid="{3EDB8DE4-EC02-4E4D-917F-EB07CD196470}"/>
    <hyperlink ref="G9" r:id="rId4" xr:uid="{C388E837-D863-4CEF-A0FE-5C39D22196BA}"/>
    <hyperlink ref="G10" r:id="rId5" xr:uid="{3916C474-DA11-4DDC-9588-4FC2EEAF896E}"/>
    <hyperlink ref="G11" r:id="rId6" xr:uid="{C3D99C27-EF62-46DF-8EA6-8A9B82587AF4}"/>
    <hyperlink ref="G8" r:id="rId7" xr:uid="{9422EFA4-728E-475C-A83A-87225E284BB3}"/>
  </hyperlinks>
  <pageMargins left="0.7" right="0.7" top="0.75" bottom="0.75" header="0.3" footer="0.3"/>
  <pageSetup paperSize="9" orientation="portrait" horizontalDpi="300" verticalDpi="300" r:id="rId8"/>
  <headerFooter>
    <oddFooter>&amp;C&amp;1#&amp;"Calibri"&amp;10&amp;K000000Classified as Business</oddFooter>
  </headerFooter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EEDF-9075-4DF4-AC36-7F471DA01B75}">
  <dimension ref="B2:G2"/>
  <sheetViews>
    <sheetView zoomScale="175" zoomScaleNormal="175" workbookViewId="0">
      <selection activeCell="B12" sqref="B3:G12"/>
    </sheetView>
  </sheetViews>
  <sheetFormatPr defaultRowHeight="15" x14ac:dyDescent="0.25"/>
  <cols>
    <col min="2" max="2" width="29" bestFit="1" customWidth="1"/>
    <col min="4" max="4" width="12.42578125" bestFit="1" customWidth="1"/>
    <col min="6" max="6" width="54.7109375" bestFit="1" customWidth="1"/>
    <col min="7" max="7" width="32.7109375" bestFit="1" customWidth="1"/>
  </cols>
  <sheetData>
    <row r="2" spans="2:7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</sheetData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0864-A368-496A-AE23-3354C3E2251E}">
  <dimension ref="A3:C16"/>
  <sheetViews>
    <sheetView workbookViewId="0">
      <selection activeCell="B26" sqref="B26"/>
    </sheetView>
  </sheetViews>
  <sheetFormatPr defaultRowHeight="15" x14ac:dyDescent="0.25"/>
  <cols>
    <col min="1" max="1" width="20.28515625" bestFit="1" customWidth="1"/>
    <col min="2" max="2" width="23" bestFit="1" customWidth="1"/>
    <col min="3" max="3" width="21.140625" bestFit="1" customWidth="1"/>
    <col min="4" max="5" width="2" bestFit="1" customWidth="1"/>
    <col min="6" max="6" width="11" bestFit="1" customWidth="1"/>
    <col min="7" max="10" width="2" bestFit="1" customWidth="1"/>
    <col min="11" max="29" width="3" bestFit="1" customWidth="1"/>
    <col min="30" max="30" width="11" bestFit="1" customWidth="1"/>
  </cols>
  <sheetData>
    <row r="3" spans="1:3" x14ac:dyDescent="0.25">
      <c r="A3" s="5" t="s">
        <v>16</v>
      </c>
      <c r="B3" t="s">
        <v>18</v>
      </c>
    </row>
    <row r="4" spans="1:3" x14ac:dyDescent="0.25">
      <c r="A4" s="6" t="s">
        <v>115</v>
      </c>
      <c r="B4">
        <v>13</v>
      </c>
    </row>
    <row r="5" spans="1:3" x14ac:dyDescent="0.25">
      <c r="A5" s="6" t="s">
        <v>116</v>
      </c>
      <c r="B5">
        <v>6</v>
      </c>
    </row>
    <row r="6" spans="1:3" x14ac:dyDescent="0.25">
      <c r="A6" s="6" t="s">
        <v>117</v>
      </c>
      <c r="B6">
        <v>2</v>
      </c>
    </row>
    <row r="7" spans="1:3" x14ac:dyDescent="0.25">
      <c r="A7" s="6" t="s">
        <v>118</v>
      </c>
      <c r="B7">
        <v>8</v>
      </c>
    </row>
    <row r="8" spans="1:3" x14ac:dyDescent="0.25">
      <c r="A8" s="6" t="s">
        <v>17</v>
      </c>
      <c r="B8">
        <v>29</v>
      </c>
    </row>
    <row r="11" spans="1:3" x14ac:dyDescent="0.25">
      <c r="A11" s="5" t="s">
        <v>16</v>
      </c>
      <c r="B11" t="s">
        <v>18</v>
      </c>
      <c r="C11" s="5"/>
    </row>
    <row r="12" spans="1:3" x14ac:dyDescent="0.25">
      <c r="A12" s="6" t="s">
        <v>13</v>
      </c>
      <c r="B12">
        <v>3</v>
      </c>
    </row>
    <row r="13" spans="1:3" x14ac:dyDescent="0.25">
      <c r="A13" s="6" t="s">
        <v>12</v>
      </c>
      <c r="B13">
        <v>11</v>
      </c>
    </row>
    <row r="14" spans="1:3" x14ac:dyDescent="0.25">
      <c r="A14" s="6" t="s">
        <v>14</v>
      </c>
      <c r="B14">
        <v>11</v>
      </c>
    </row>
    <row r="15" spans="1:3" x14ac:dyDescent="0.25">
      <c r="A15" s="6" t="s">
        <v>19</v>
      </c>
      <c r="B15">
        <v>4</v>
      </c>
    </row>
    <row r="16" spans="1:3" x14ac:dyDescent="0.25">
      <c r="A16" s="6" t="s">
        <v>17</v>
      </c>
      <c r="B16">
        <v>29</v>
      </c>
    </row>
  </sheetData>
  <pageMargins left="0.7" right="0.7" top="0.75" bottom="0.75" header="0.3" footer="0.3"/>
  <pageSetup paperSize="9" orientation="portrait" horizontalDpi="300" verticalDpi="300" r:id="rId3"/>
  <headerFooter>
    <oddFooter>&amp;C&amp;1#&amp;"Calibri"&amp;10&amp;K000000Classified as Business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AC15655474C4A84A299394886D44C" ma:contentTypeVersion="12" ma:contentTypeDescription="Create a new document." ma:contentTypeScope="" ma:versionID="6f2343ae8446e4dee34dae02691d726b">
  <xsd:schema xmlns:xsd="http://www.w3.org/2001/XMLSchema" xmlns:xs="http://www.w3.org/2001/XMLSchema" xmlns:p="http://schemas.microsoft.com/office/2006/metadata/properties" xmlns:ns2="504ea18b-74d5-4fc6-bba2-59cd5e7cdb54" xmlns:ns3="95227902-24a6-4ee4-9c47-d30f769d9261" xmlns:ns4="77505787-b86b-4d9a-87b2-ad2acd89f33c" targetNamespace="http://schemas.microsoft.com/office/2006/metadata/properties" ma:root="true" ma:fieldsID="b4be35e9cc93d85e164f9717d664349a" ns2:_="" ns3:_="" ns4:_="">
    <xsd:import namespace="504ea18b-74d5-4fc6-bba2-59cd5e7cdb54"/>
    <xsd:import namespace="95227902-24a6-4ee4-9c47-d30f769d9261"/>
    <xsd:import namespace="77505787-b86b-4d9a-87b2-ad2acd89f3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ea18b-74d5-4fc6-bba2-59cd5e7cd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c5abc1a-b827-4379-b6d7-11c969e250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27902-24a6-4ee4-9c47-d30f769d926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05787-b86b-4d9a-87b2-ad2acd89f33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d253ff8-207f-4f86-a690-d8fb1c81be57}" ma:internalName="TaxCatchAll" ma:showField="CatchAllData" ma:web="95227902-24a6-4ee4-9c47-d30f769d92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505787-b86b-4d9a-87b2-ad2acd89f33c" xsi:nil="true"/>
    <lcf76f155ced4ddcb4097134ff3c332f xmlns="504ea18b-74d5-4fc6-bba2-59cd5e7cdb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21248F-EA82-4D04-9243-D00F375595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3D5E9F-5BFE-481D-8D15-F9813735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4ea18b-74d5-4fc6-bba2-59cd5e7cdb54"/>
    <ds:schemaRef ds:uri="95227902-24a6-4ee4-9c47-d30f769d9261"/>
    <ds:schemaRef ds:uri="77505787-b86b-4d9a-87b2-ad2acd89f3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E16DA7-8698-41B7-872D-458DF658E690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c90396e4-b68c-4d6b-982e-5a94f53c0ced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244bb92b-01ee-483a-85ce-02b7d2e7d353"/>
    <ds:schemaRef ds:uri="77505787-b86b-4d9a-87b2-ad2acd89f33c"/>
    <ds:schemaRef ds:uri="504ea18b-74d5-4fc6-bba2-59cd5e7cdb54"/>
  </ds:schemaRefs>
</ds:datastoreItem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Categories</vt:lpstr>
      <vt:lpstr>Techs</vt:lpstr>
      <vt:lpstr>Contacts</vt:lpstr>
      <vt:lpstr>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Vahid Khorshidi</cp:lastModifiedBy>
  <cp:revision/>
  <dcterms:created xsi:type="dcterms:W3CDTF">2020-10-07T07:25:24Z</dcterms:created>
  <dcterms:modified xsi:type="dcterms:W3CDTF">2025-05-01T08:08:41Z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0x010100218AC15655474C4A84A299394886D44C</vt:lpwstr>
  </property>
  <property fmtid="{D5CDD505-2E9C-101B-9397-08002B2CF9AE}" pid="3" name="MSIP_Label_8d6a82de-332f-43b8-a8a7-1928fd67507f_Enabled">
    <vt:lpwstr>true</vt:lpwstr>
  </property>
  <property fmtid="{D5CDD505-2E9C-101B-9397-08002B2CF9AE}" pid="4" name="MSIP_Label_8d6a82de-332f-43b8-a8a7-1928fd67507f_SetDate">
    <vt:lpwstr>2020-11-25T07:15:38Z</vt:lpwstr>
  </property>
  <property fmtid="{D5CDD505-2E9C-101B-9397-08002B2CF9AE}" pid="5" name="MSIP_Label_8d6a82de-332f-43b8-a8a7-1928fd67507f_Method">
    <vt:lpwstr>Standard</vt:lpwstr>
  </property>
  <property fmtid="{D5CDD505-2E9C-101B-9397-08002B2CF9AE}" pid="6" name="MSIP_Label_8d6a82de-332f-43b8-a8a7-1928fd67507f_Name">
    <vt:lpwstr>1. Business</vt:lpwstr>
  </property>
  <property fmtid="{D5CDD505-2E9C-101B-9397-08002B2CF9AE}" pid="7" name="MSIP_Label_8d6a82de-332f-43b8-a8a7-1928fd67507f_SiteId">
    <vt:lpwstr>097464b8-069c-453e-9254-c17ec707310d</vt:lpwstr>
  </property>
  <property fmtid="{D5CDD505-2E9C-101B-9397-08002B2CF9AE}" pid="8" name="MSIP_Label_8d6a82de-332f-43b8-a8a7-1928fd67507f_ActionId">
    <vt:lpwstr>b96e6b75-df5d-4e9b-aa78-862394ea5b47</vt:lpwstr>
  </property>
  <property fmtid="{D5CDD505-2E9C-101B-9397-08002B2CF9AE}" pid="9" name="MSIP_Label_8d6a82de-332f-43b8-a8a7-1928fd67507f_ContentBits">
    <vt:lpwstr>2</vt:lpwstr>
  </property>
</Properties>
</file>