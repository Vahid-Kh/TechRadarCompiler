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75297\PycharmProjects\Tech Radar\"/>
    </mc:Choice>
  </mc:AlternateContent>
  <xr:revisionPtr revIDLastSave="0" documentId="13_ncr:1_{5C112DFD-DCE4-4C09-BCF0-4D8B96E59970}" xr6:coauthVersionLast="45" xr6:coauthVersionMax="45" xr10:uidLastSave="{00000000-0000-0000-0000-000000000000}"/>
  <bookViews>
    <workbookView xWindow="810" yWindow="-120" windowWidth="28110" windowHeight="16440" activeTab="1" xr2:uid="{00000000-000D-0000-FFFF-FFFF00000000}"/>
  </bookViews>
  <sheets>
    <sheet name="Categories" sheetId="4" r:id="rId1"/>
    <sheet name="Techs" sheetId="1" r:id="rId2"/>
    <sheet name="Contacts" sheetId="2" r:id="rId3"/>
    <sheet name="Stats" sheetId="3" r:id="rId4"/>
  </sheets>
  <definedNames>
    <definedName name="_xlnm._FilterDatabase" localSheetId="1" hidden="1">Techs!$A$3:$M$26</definedName>
  </definedName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tc={7BD36F2D-E752-44B2-A624-292B46AC1295}</author>
  </authors>
  <commentList>
    <comment ref="I3" authorId="0" shapeId="0" xr:uid="{7BD36F2D-E752-44B2-A624-292B46AC129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better decided with assessment process</t>
      </text>
    </comment>
  </commentList>
</comments>
</file>

<file path=xl/sharedStrings.xml><?xml version="1.0" encoding="utf-8"?>
<sst xmlns="http://schemas.openxmlformats.org/spreadsheetml/2006/main" count="224" uniqueCount="139">
  <si>
    <t>SharePoint link</t>
  </si>
  <si>
    <t>Technology title</t>
  </si>
  <si>
    <t>Number</t>
  </si>
  <si>
    <t>https://danfoss.sharepoint.com/:p:/s/ProductTechnologyStrategy/ETkKK2YquPpMouGtEcgd34sBMuRj6CFGRnfzXbQ3hW-m0Q?e=sTVzBj</t>
  </si>
  <si>
    <t>https://teams.microsoft.com/l/file/75A0B3AB-F810-4DFE-BF2D-669FC701AACD?tenantId=097464b8-069c-453e-9254-c17ec707310d&amp;fileType=pdf&amp;objectUrl=https%3A%2F%2Fdanfoss.sharepoint.com%2Fsites%2FProductTechnologyStrategy%2FShared%20Documents%2FGeneral%2FArchive%2FBruce-Danfoss_Filter_Geh%C3%A4use_REV02_2019-11-18.pdf&amp;baseUrl=https%3A%2F%2Fdanfoss.sharepoint.com%2Fsites%2FProductTechnologyStrategy&amp;serviceName=teams&amp;threadId=19:31ceb553cab840399de26bf67df955ec@thread.skype&amp;groupId=b551b913-237e-487f-8b4a-78189d2ca53e</t>
  </si>
  <si>
    <t>Spherical bidirectional core (Parker)</t>
  </si>
  <si>
    <t>Contact person</t>
  </si>
  <si>
    <t>GGI</t>
  </si>
  <si>
    <t>Bruce</t>
  </si>
  <si>
    <t>Filter drier with sensors for user alert (Parker)</t>
  </si>
  <si>
    <t>https://permalink.orbit.com/RenderStaticFirstPage?XPN=y3Yz6a18nVu2VIMa0HA13ZNXe7dphUsu7KxJINoFg8I%3D%26n%3D1&amp;id=0&amp;base=FAMPAT</t>
  </si>
  <si>
    <t>Circulation grooves on inlet cover (Sanhua)</t>
  </si>
  <si>
    <t>https://permalink.orbit.com/RenderStaticFirstPage?XPN=SCmvc4H9PjcnSAEzkE84YJNXe7dphUsu7KxJINoFg8I%3D%26n%3D1&amp;id=0&amp;base=FAMPAT</t>
  </si>
  <si>
    <t>https://permalink.orbit.com/RenderStaticFirstPage?XPN=Hc3mvMko61yOyNk1Ee3fiJNXe7dphUsu7KxJINoFg8I%3D%26n%3D1&amp;id=0&amp;base=FAMPAT</t>
  </si>
  <si>
    <t>https://assets.danfoss.com/documents/DOC308340935983/DOC308340935983.pdf</t>
  </si>
  <si>
    <t>Filter layer around solid core (Sanhua)</t>
  </si>
  <si>
    <t>https://permalink.orbit.com/RenderStaticFirstPage?XPN=w2cCEaPc1R7jCoOEB2EWlnfDUqlXTJ5uwQdFuycu4uk%3D%26n%3D1&amp;id=0&amp;base=FAMPAT</t>
  </si>
  <si>
    <t>https://permalink.orbit.com/RenderStaticFirstPage?XPN=N0aX%252BYoopBr4%252BC%252F5M6pym3fDUqlXTJ5uwQdFuycu4uk%3D%26n%3D1&amp;id=0&amp;base=FAMPAT</t>
  </si>
  <si>
    <t>Buffer chamber after filter plate (Sanhua)</t>
  </si>
  <si>
    <t>Detachable filter drier (Parker)</t>
  </si>
  <si>
    <t>https://permalink.orbit.com/RenderStaticFirstPage?XPN=MmrCdPfOpZEkIseuZagJI7msLuw%252FR4oY%252BQgpgFzVRnM%3D%26n%3D1&amp;id=0&amp;base=FAMPAT</t>
  </si>
  <si>
    <t>Modular core</t>
  </si>
  <si>
    <t>Ali?</t>
  </si>
  <si>
    <t>4A Molecular Sieve</t>
  </si>
  <si>
    <t>https://danfoss-my.sharepoint.com/personal/foulladpour_danfoss_com/Documents/Cost%20Down%20Enginnering/Projects/Filter%20dryer/Core%20investigation/300_FilterDrierSolidCore/Protocol_FilterDrierSolidCore_AlternativesChallenges&amp;CostCalculations.docx?web=1</t>
  </si>
  <si>
    <t>Ali</t>
  </si>
  <si>
    <t>Water/air purger (Hansen)</t>
  </si>
  <si>
    <t>https://static1.squarespace.com/static/568fc9bac21b86decbc1965f/t/58ebca4d579fb3beba63aaa5/1491847758750/APP001c+-+June+2008.pdf</t>
  </si>
  <si>
    <t>Ammonia dryer (Gea Grasso)</t>
  </si>
  <si>
    <t>https://www.gea.com/en/products/refrigeration-heating/gea-ammonia-dryer.jsp</t>
  </si>
  <si>
    <t>Monolith structure core</t>
  </si>
  <si>
    <t>Air purger (IPS 8)</t>
  </si>
  <si>
    <t xml:space="preserve">Solid core </t>
  </si>
  <si>
    <t>Metal sheet shell</t>
  </si>
  <si>
    <t>Plastic Shell</t>
  </si>
  <si>
    <t>Polyester feltmat</t>
  </si>
  <si>
    <t>https://www.lens.org/lens/patent/183-208-649-463-739</t>
  </si>
  <si>
    <t>Additional filter in the spring (Sanhua)</t>
  </si>
  <si>
    <t>IP Stefano</t>
  </si>
  <si>
    <t>Contact</t>
  </si>
  <si>
    <t>When</t>
  </si>
  <si>
    <t>Topic</t>
  </si>
  <si>
    <t>Reply</t>
  </si>
  <si>
    <t>Action taken</t>
  </si>
  <si>
    <t>Bruce Busby</t>
  </si>
  <si>
    <t>To do</t>
  </si>
  <si>
    <t>General</t>
  </si>
  <si>
    <t>yes</t>
  </si>
  <si>
    <t>Input on plastic covering</t>
  </si>
  <si>
    <t>Follow up on tech radar developments</t>
  </si>
  <si>
    <t>Johan Van Beek</t>
  </si>
  <si>
    <t>Krishnamoorty Ramadevan</t>
  </si>
  <si>
    <t>None</t>
  </si>
  <si>
    <t>Modular core?</t>
  </si>
  <si>
    <t>Contact Jose Everardo</t>
  </si>
  <si>
    <t xml:space="preserve">Jose Everardo Garmendia Tijerina </t>
  </si>
  <si>
    <t>no</t>
  </si>
  <si>
    <t xml:space="preserve">Mario De La Rosa Limon </t>
  </si>
  <si>
    <t xml:space="preserve">Rasmus Damgaard Poulsen	</t>
  </si>
  <si>
    <t>Epoxy Binder</t>
  </si>
  <si>
    <t>N.A.</t>
  </si>
  <si>
    <t>N.A:</t>
  </si>
  <si>
    <t>Krishnamoorthy/Everardo</t>
  </si>
  <si>
    <t>New technology?</t>
  </si>
  <si>
    <t>Important development?</t>
  </si>
  <si>
    <t>System changes?</t>
  </si>
  <si>
    <t>Application changes?</t>
  </si>
  <si>
    <t>Rate 1 (low) to 5 (high)</t>
  </si>
  <si>
    <r>
      <rPr>
        <sz val="20"/>
        <color rgb="FFC00000"/>
        <rFont val="Calibri"/>
        <family val="2"/>
        <scheme val="minor"/>
      </rPr>
      <t xml:space="preserve">Selection
</t>
    </r>
    <r>
      <rPr>
        <sz val="11"/>
        <color theme="1"/>
        <rFont val="Calibri"/>
        <family val="2"/>
        <scheme val="minor"/>
      </rPr>
      <t xml:space="preserve">
</t>
    </r>
  </si>
  <si>
    <t>https://danfoss.sharepoint.com/sites/ProductTechnologyStrategy/_layouts/15/Doc.aspx?OR=teams&amp;action=edit&amp;sourcedoc={6D5A5EF9-7EBB-4A21-A56A-9C42B5E18FDE}</t>
  </si>
  <si>
    <t>Aluminum Spinning Housing</t>
  </si>
  <si>
    <t>Stainless steel housing</t>
  </si>
  <si>
    <t>Mario De La Rosa</t>
  </si>
  <si>
    <t>Stainless steel housing, aluminum spinning</t>
  </si>
  <si>
    <t>One Pager</t>
  </si>
  <si>
    <t>Combined core and filter structure (Sanhua)</t>
  </si>
  <si>
    <t>Source of info</t>
  </si>
  <si>
    <t>Internal</t>
  </si>
  <si>
    <t>Catalogues</t>
  </si>
  <si>
    <t>IP landscape</t>
  </si>
  <si>
    <t>Access to Design Lesson Learned Sharepoint</t>
  </si>
  <si>
    <t>Follow up for stainless steel housing?</t>
  </si>
  <si>
    <t>Clamping mechanism</t>
  </si>
  <si>
    <t>https://permalink.orbit.com/RenderStaticFirstPage?XPN=oeTDsN2cVxPh7svUaWmo55NXe7dphUsu7KxJINoFg8I%3D%26n%3D1&amp;id=0&amp;base=FAMPAT</t>
  </si>
  <si>
    <t>Jose Everardo</t>
  </si>
  <si>
    <t>Plastic Molecular Sieve</t>
  </si>
  <si>
    <t>Activated allumina in core</t>
  </si>
  <si>
    <t>Meeting</t>
  </si>
  <si>
    <t>N.A</t>
  </si>
  <si>
    <t>Rasmus</t>
  </si>
  <si>
    <t>Epoxy binder alternatives</t>
  </si>
  <si>
    <t>Water adsorption resin</t>
  </si>
  <si>
    <t>Loose beads core</t>
  </si>
  <si>
    <t>Membrane technology</t>
  </si>
  <si>
    <t>Stefano/Vahid</t>
  </si>
  <si>
    <t>Acid removal device</t>
  </si>
  <si>
    <t>open for questions</t>
  </si>
  <si>
    <t>Epoxy binder, resin, beads, acid retention device, membrane</t>
  </si>
  <si>
    <t xml:space="preserve">Jesper Schmidt Hansen </t>
  </si>
  <si>
    <t>Adopt: "0"
Trial: "1"
Assess: "2"
Hold: "3"</t>
  </si>
  <si>
    <t>Low: "-1"
Medium: "0"
High: "1"</t>
  </si>
  <si>
    <t>Row Labels</t>
  </si>
  <si>
    <t>Grand Total</t>
  </si>
  <si>
    <t>Count of Technology title</t>
  </si>
  <si>
    <t>Moisture removal</t>
  </si>
  <si>
    <t>Particle removal</t>
  </si>
  <si>
    <t>Acid removal</t>
  </si>
  <si>
    <t>Encapsulation/Sealing</t>
  </si>
  <si>
    <t xml:space="preserve">Drying agent </t>
  </si>
  <si>
    <t>In use</t>
  </si>
  <si>
    <t>Integrated filter switch</t>
  </si>
  <si>
    <t>https://www.lens.org/lens/patent/185-865-273-233-128</t>
  </si>
  <si>
    <t>Coalescent filters</t>
  </si>
  <si>
    <t>none, project ended 20 yrs ago</t>
  </si>
  <si>
    <t>Category</t>
  </si>
  <si>
    <t>Effort level</t>
  </si>
  <si>
    <t>Importance</t>
  </si>
  <si>
    <t>https://danfoss.sharepoint.com/:p:/s/ProductTechnologyStrategy/ESP6aU6vlgxKqRSRs92N9S4BbX2IbQi8hVrv6MHwm2T-gA?e=eo8ek9&amp;wdLOR=c20BC3A93-7346-4FCE-B42D-E3244D4EEF4C</t>
  </si>
  <si>
    <t>Categories</t>
  </si>
  <si>
    <t>Acid Retention</t>
  </si>
  <si>
    <t>Particle Removal</t>
  </si>
  <si>
    <t>Acid retention: "0"
Encapsulation/Sealing: "1"
Moisture Removal: "2"
Particle Removal: "3"</t>
  </si>
  <si>
    <t>https://danfoss.sharepoint.com/:p:/s/ProductTechnologyStrategy/EVt28944mKhFjWTh1O60QVcBd6kHyrZ_a3BlEjOp1aJWjw?e=BCGlnW</t>
  </si>
  <si>
    <t>https://danfoss.sharepoint.com/:p:/s/ProductTechnologyStrategy/Ect2srk6RUJFhd4TUWi0WyMBUOZJLwXZgxNblZEZlUFKSw?e=CJh7QA</t>
  </si>
  <si>
    <t>https://danfoss.sharepoint.com/:p:/s/ProductTechnologyStrategy/EV9yDw9zZtRJpLwEA-WU-5QBYxZt8RkUH4dCymld9ySE3w?e=wviZvW</t>
  </si>
  <si>
    <t>https://danfoss.sharepoint.com/:p:/s/ProductTechnologyStrategy/EQdxaQYJ9IVKmz3KqLJ8keoB4DHE71hTZdYMxHxFRgwvxQ?e=BnkfIT</t>
  </si>
  <si>
    <t>https://danfoss.sharepoint.com/:p:/s/ProductTechnologyStrategy/EZrA2yJBddtJoRBUW0bHfGQBzV4Au4Is-4aN0hDWgundGg?e=wl3MWk</t>
  </si>
  <si>
    <t>https://danfoss.sharepoint.com/:p:/s/ProductTechnologyStrategy/EU3iHETOqohLhSGU68eYENgBGi0mxFRI_U13HxTanachPA?e=X6sRm4</t>
  </si>
  <si>
    <t>https://danfoss.sharepoint.com/:p:/s/ProductTechnologyStrategy/Ec44ZF4Qg9tLkjaiT4AK6hIB-4m65GrgRAmvYDLCTCpLFg?e=hrUHJB</t>
  </si>
  <si>
    <t>https://danfoss.sharepoint.com/:p:/s/ProductTechnologyStrategy/EYbpms0LoLRGk51LocSJyb4Bn9QEXS1IYbqs6qs0_wAXvw?e=cJLndg</t>
  </si>
  <si>
    <t>https://danfoss.sharepoint.com/:p:/s/ProductTechnologyStrategy/Ea5uRFLEDKVCo53NSA7gNUsBcE7wS5Mb49uAVU5cXO2Acw?e=TS95NI</t>
  </si>
  <si>
    <t>https://danfoss.sharepoint.com/:p:/s/ProductTechnologyStrategy/EQOzDikNWKdPmW25XxykTxgBbLFgQC1ovNnDOjgFjvKvaw?e=muw66c</t>
  </si>
  <si>
    <t>https://danfoss.sharepoint.com/:p:/s/ProductTechnologyStrategy/EbRl94GIyjJOn0zh_GDYadoBeQkR8AprKnpMPT_qk3j2ZQ?e=w5dkwc</t>
  </si>
  <si>
    <t>https://danfoss.sharepoint.com/:p:/s/ProductTechnologyStrategy/Ecfkz_zfiu1Kqd5YxoC1IncBsQTu8BIUlcOxFYl11KbnuQ?e=oqTRQz</t>
  </si>
  <si>
    <t>https://danfoss.sharepoint.com/:p:/s/ProductTechnologyStrategy/Ea3BxQM46dRMu786Aer-3z8ByHQTtutlqzXfnmlJvvnKIQ?e=h4phh7</t>
  </si>
  <si>
    <t>https://danfoss.sharepoint.com/:p:/s/ProductTechnologyStrategy/EbKSxeHq8FBBrOdPA9tEENwB1dKGntYoW0lIwP7gSwjyJQ?e=BfayLA</t>
  </si>
  <si>
    <t>https://danfoss.sharepoint.com/:p:/s/ProductTechnologyStrategy/Ee6fAr8acdlNpSqNtVhFJY8Bb6UaHPjHJArVDJQf5ZUrSA?e=MzfyoR</t>
  </si>
  <si>
    <t>https://danfoss.sharepoint.com/:p:/s/ProductTechnologyStrategy/EdCPF0JWlbZOuJ-346irlc4BKZU_wHkypQWyXuzWY39Zgg?e=fbfpa6</t>
  </si>
  <si>
    <t>System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</si>
</sst>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Minion Pro"/>
      <family val="2"/>
    </font>
    <font>
      <sz val="2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0" xfId="0" applyNumberFormat="1"/>
    <xf numFmtId="0" fontId="5" fillId="0" borderId="0" xfId="0" applyFont="1" applyAlignment="1">
      <alignment horizontal="left" vertical="top"/>
    </xf>
    <xf numFmtId="0" fontId="0" fillId="0" borderId="3" xfId="0" applyFill="1" applyBorder="1" applyAlignment="1">
      <alignment horizontal="center" vertical="center"/>
    </xf>
    <xf numFmtId="0" fontId="4" fillId="0" borderId="0" xfId="2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5" xfId="1" applyBorder="1"/>
    <xf numFmtId="0" fontId="3" fillId="0" borderId="9" xfId="1" applyBorder="1"/>
    <xf numFmtId="0" fontId="9" fillId="0" borderId="0" xfId="0" applyFont="1"/>
    <xf numFmtId="0" fontId="3" fillId="0" borderId="10" xfId="1" applyBorder="1"/>
    <xf numFmtId="0" fontId="3" fillId="0" borderId="9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4" fillId="0" borderId="0" xfId="2" applyBorder="1" applyAlignment="1">
      <alignment horizontal="center" vertical="center"/>
    </xf>
  </cellXfs>
  <cellStyles count="3">
    <cellStyle name="Hyperlink" xfId="1" builtinId="8"/>
    <cellStyle name="Normal" xfId="0" builtinId="0"/>
    <cellStyle name="Warning Text" xfId="2" builtinId="11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Radar Input.xlsx]Stats!PivotTable3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Building</a:t>
            </a:r>
            <a:r>
              <a:rPr lang="en-US" baseline="0"/>
              <a:t> block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Stats!$A$4:$A$8</c:f>
              <c:strCache>
                <c:ptCount val="4"/>
                <c:pt idx="0">
                  <c:v>Moisture removal</c:v>
                </c:pt>
                <c:pt idx="1">
                  <c:v>Particle removal</c:v>
                </c:pt>
                <c:pt idx="2">
                  <c:v>Acid removal</c:v>
                </c:pt>
                <c:pt idx="3">
                  <c:v>Encapsulation/Sealing</c:v>
                </c:pt>
              </c:strCache>
            </c:strRef>
          </c:cat>
          <c:val>
            <c:numRef>
              <c:f>Stats!$B$4:$B$8</c:f>
              <c:numCache>
                <c:formatCode>General</c:formatCode>
                <c:ptCount val="4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A-42B3-BA37-587AE998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732799"/>
        <c:axId val="1926032303"/>
      </c:barChart>
      <c:catAx>
        <c:axId val="167073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32303"/>
        <c:crosses val="autoZero"/>
        <c:auto val="1"/>
        <c:lblAlgn val="ctr"/>
        <c:lblOffset val="100"/>
        <c:noMultiLvlLbl val="0"/>
      </c:catAx>
      <c:valAx>
        <c:axId val="19260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3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Radar Input.xlsx]Stats!PivotTable4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 of</a:t>
            </a:r>
            <a:r>
              <a:rPr lang="en-US" baseline="0"/>
              <a:t> info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Stats!$A$12:$A$16</c:f>
              <c:strCache>
                <c:ptCount val="4"/>
                <c:pt idx="0">
                  <c:v>Catalogues</c:v>
                </c:pt>
                <c:pt idx="1">
                  <c:v>Internal</c:v>
                </c:pt>
                <c:pt idx="2">
                  <c:v>IP landscape</c:v>
                </c:pt>
                <c:pt idx="3">
                  <c:v>In use</c:v>
                </c:pt>
              </c:strCache>
            </c:strRef>
          </c:cat>
          <c:val>
            <c:numRef>
              <c:f>Stats!$B$12:$B$16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1-4CF7-B8EE-F09CC5E4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726959"/>
        <c:axId val="1926018159"/>
      </c:barChart>
      <c:catAx>
        <c:axId val="170772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18159"/>
        <c:crosses val="autoZero"/>
        <c:auto val="1"/>
        <c:lblAlgn val="ctr"/>
        <c:lblOffset val="100"/>
        <c:noMultiLvlLbl val="0"/>
      </c:catAx>
      <c:valAx>
        <c:axId val="192601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2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163830</xdr:colOff>
      <xdr:row>2</xdr:row>
      <xdr:rowOff>86677</xdr:rowOff>
    </xdr:from>
    <xdr:to>
      <xdr:col>26</xdr:col>
      <xdr:colOff>95250</xdr:colOff>
      <xdr:row>17</xdr:row>
      <xdr:rowOff>122872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8F271-44A4-451E-B81D-5226D88C7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20</xdr:row>
      <xdr:rowOff>20002</xdr:rowOff>
    </xdr:from>
    <xdr:to>
      <xdr:col>26</xdr:col>
      <xdr:colOff>91440</xdr:colOff>
      <xdr:row>35</xdr:row>
      <xdr:rowOff>56197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61CA9-2356-4F62-B0A7-212883F05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fano Meneghello" id="{D6EAB3BD-FB83-4464-9BE6-8AC5FEDB19E9}" userId="S::stefano.meneghello@danfoss.com::0bf51330-f23c-4175-838e-fdaa4df413d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 Meneghello" refreshedDate="44131.567795023147" createdVersion="6" refreshedVersion="6" minRefreshableVersion="3" recordCount="29" xr:uid="{AE605794-371F-4D09-BF0C-1A5DCE983587}">
  <cacheSource type="worksheet">
    <worksheetSource name="Table3"/>
  </cacheSource>
  <cacheFields count="14">
    <cacheField name="Number" numFmtId="0">
      <sharedItems containsSemiMixedTypes="0" containsString="0" containsNumber="1" containsInteger="1" minValue="1" maxValue="29"/>
    </cacheField>
    <cacheField name="Technology title" numFmtId="0">
      <sharedItems/>
    </cacheField>
    <cacheField name="Category_x000a_" numFmtId="0">
      <sharedItems containsSemiMixedTypes="0" containsString="0" containsNumber="1" containsInteger="1" minValue="0" maxValue="3" count="4">
        <n v="0"/>
        <n v="3"/>
        <n v="1"/>
        <n v="2"/>
      </sharedItems>
    </cacheField>
    <cacheField name="New technology?" numFmtId="0">
      <sharedItems containsNonDate="0" containsString="0" containsBlank="1"/>
    </cacheField>
    <cacheField name="Important development?" numFmtId="0">
      <sharedItems containsNonDate="0" containsString="0" containsBlank="1"/>
    </cacheField>
    <cacheField name="System changes?" numFmtId="0">
      <sharedItems containsNonDate="0" containsString="0" containsBlank="1"/>
    </cacheField>
    <cacheField name="Application changes?" numFmtId="0">
      <sharedItems containsNonDate="0" containsString="0" containsBlank="1"/>
    </cacheField>
    <cacheField name="Selection_x000a__x000a_" numFmtId="0">
      <sharedItems containsNonDate="0" containsString="0" containsBlank="1"/>
    </cacheField>
    <cacheField name="Effort level_x000a_" numFmtId="0">
      <sharedItems containsSemiMixedTypes="0" containsString="0" containsNumber="1" containsInteger="1" minValue="0" maxValue="3"/>
    </cacheField>
    <cacheField name="Importance_x000a_" numFmtId="0">
      <sharedItems containsSemiMixedTypes="0" containsString="0" containsNumber="1" containsInteger="1" minValue="-1" maxValue="1"/>
    </cacheField>
    <cacheField name="SharePoint link" numFmtId="0">
      <sharedItems containsBlank="1" longText="1"/>
    </cacheField>
    <cacheField name="One Pager" numFmtId="0">
      <sharedItems/>
    </cacheField>
    <cacheField name="Contact person" numFmtId="0">
      <sharedItems/>
    </cacheField>
    <cacheField name="Source of info" numFmtId="0">
      <sharedItems count="4">
        <s v="Internal"/>
        <s v="IP landscape"/>
        <s v="Catalogues"/>
        <s v="In u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s v="Monolith structure core"/>
    <x v="0"/>
    <m/>
    <m/>
    <m/>
    <m/>
    <m/>
    <n v="2"/>
    <n v="1"/>
    <s v="https://danfoss-my.sharepoint.com/personal/foulladpour_danfoss_com/Documents/Cost%20Down%20Enginnering/Projects/Filter%20dryer/Core%20investigation/300_FilterDrierSolidCore/Protocol_FilterDrierSolidCore_AlternativesChallenges&amp;CostCalculations.docx?web=1"/>
    <s v="yes"/>
    <s v="Ali?"/>
    <x v="0"/>
  </r>
  <r>
    <n v="2"/>
    <s v="Combined core and filter structure (Sanhua)"/>
    <x v="1"/>
    <m/>
    <m/>
    <m/>
    <m/>
    <m/>
    <n v="3"/>
    <n v="1"/>
    <s v="https://permalink.orbit.com/RenderStaticFirstPage?XPN=SCmvc4H9PjcnSAEzkE84YJNXe7dphUsu7KxJINoFg8I%3D%26n%3D1&amp;id=0&amp;base=FAMPAT"/>
    <s v="yes"/>
    <s v="GGI"/>
    <x v="1"/>
  </r>
  <r>
    <n v="3"/>
    <s v="Water/air purger (Hansen)"/>
    <x v="0"/>
    <m/>
    <m/>
    <m/>
    <m/>
    <m/>
    <n v="2"/>
    <n v="0"/>
    <s v="https://static1.squarespace.com/static/568fc9bac21b86decbc1965f/t/58ebca4d579fb3beba63aaa5/1491847758750/APP001c+-+June+2008.pdf"/>
    <s v="yes"/>
    <s v="N.A."/>
    <x v="2"/>
  </r>
  <r>
    <n v="4"/>
    <s v="Air purger (IPS 8)"/>
    <x v="2"/>
    <m/>
    <m/>
    <m/>
    <m/>
    <m/>
    <n v="0"/>
    <n v="0"/>
    <s v="https://assets.danfoss.com/documents/DOC308340935983/DOC308340935983.pdf"/>
    <s v="no"/>
    <s v="N.A."/>
    <x v="3"/>
  </r>
  <r>
    <n v="5"/>
    <s v="Ammonia dryer (Gea Grasso)"/>
    <x v="0"/>
    <m/>
    <m/>
    <m/>
    <m/>
    <m/>
    <n v="2"/>
    <n v="0"/>
    <s v="https://www.gea.com/en/products/refrigeration-heating/gea-ammonia-dryer.jsp"/>
    <s v="yes"/>
    <s v="N.A."/>
    <x v="2"/>
  </r>
  <r>
    <n v="6"/>
    <s v="Spherical bidirectional core (Parker)"/>
    <x v="1"/>
    <m/>
    <m/>
    <m/>
    <m/>
    <m/>
    <n v="3"/>
    <n v="1"/>
    <s v="https://permalink.orbit.com/RenderStaticFirstPage?XPN=N0aX%252BYoopBr4%252BC%252F5M6pym3fDUqlXTJ5uwQdFuycu4uk%3D%26n%3D1&amp;id=0&amp;base=FAMPAT"/>
    <s v="yes"/>
    <s v="GGI"/>
    <x v="1"/>
  </r>
  <r>
    <n v="7"/>
    <s v="Polyester feltmat"/>
    <x v="2"/>
    <m/>
    <m/>
    <m/>
    <m/>
    <m/>
    <n v="0"/>
    <n v="0"/>
    <m/>
    <s v="no"/>
    <s v="N.A."/>
    <x v="3"/>
  </r>
  <r>
    <n v="8"/>
    <s v="Filter drier with sensors for user alert (Parker)"/>
    <x v="2"/>
    <m/>
    <m/>
    <m/>
    <m/>
    <m/>
    <n v="2"/>
    <n v="1"/>
    <s v="https://danfoss.sharepoint.com/:p:/s/ProductTechnologyStrategy/ETkKK2YquPpMouGtEcgd34sBMuRj6CFGRnfzXbQ3hW-m0Q?e=sTVzBj"/>
    <s v="yes"/>
    <s v="GGI"/>
    <x v="1"/>
  </r>
  <r>
    <n v="9"/>
    <s v="Plastic Shell"/>
    <x v="1"/>
    <m/>
    <m/>
    <m/>
    <m/>
    <m/>
    <n v="1"/>
    <n v="0"/>
    <s v="https://teams.microsoft.com/l/file/75A0B3AB-F810-4DFE-BF2D-669FC701AACD?tenantId=097464b8-069c-453e-9254-c17ec707310d&amp;fileType=pdf&amp;objectUrl=https%3A%2F%2Fdanfoss.sharepoint.com%2Fsites%2FProductTechnologyStrategy%2FShared%20Documents%2FGeneral%2FArchive%2FBruce-Danfoss_Filter_Geh%C3%A4use_REV02_2019-11-18.pdf&amp;baseUrl=https%3A%2F%2Fdanfoss.sharepoint.com%2Fsites%2FProductTechnologyStrategy&amp;serviceName=teams&amp;threadId=19:31ceb553cab840399de26bf67df955ec@thread.skype&amp;groupId=b551b913-237e-487f-8b4a-78189d2ca53e"/>
    <s v="yes"/>
    <s v="Bruce"/>
    <x v="0"/>
  </r>
  <r>
    <n v="10"/>
    <s v="Circulation grooves on inlet cover (Sanhua)"/>
    <x v="0"/>
    <m/>
    <m/>
    <m/>
    <m/>
    <m/>
    <n v="3"/>
    <n v="-1"/>
    <s v="https://permalink.orbit.com/RenderStaticFirstPage?XPN=y3Yz6a18nVu2VIMa0HA13ZNXe7dphUsu7KxJINoFg8I%3D%26n%3D1&amp;id=0&amp;base=FAMPAT"/>
    <s v="yes"/>
    <s v="GGI"/>
    <x v="1"/>
  </r>
  <r>
    <n v="11"/>
    <s v="Filter layer around solid core (Sanhua)"/>
    <x v="2"/>
    <m/>
    <m/>
    <m/>
    <m/>
    <m/>
    <n v="3"/>
    <n v="-1"/>
    <s v="https://permalink.orbit.com/RenderStaticFirstPage?XPN=Hc3mvMko61yOyNk1Ee3fiJNXe7dphUsu7KxJINoFg8I%3D%26n%3D1&amp;id=0&amp;base=FAMPAT"/>
    <s v="yes"/>
    <s v="GGI"/>
    <x v="1"/>
  </r>
  <r>
    <n v="12"/>
    <s v="Buffer chamber after filter plate (Sanhua)"/>
    <x v="2"/>
    <m/>
    <m/>
    <m/>
    <m/>
    <m/>
    <n v="3"/>
    <n v="1"/>
    <s v="https://permalink.orbit.com/RenderStaticFirstPage?XPN=w2cCEaPc1R7jCoOEB2EWlnfDUqlXTJ5uwQdFuycu4uk%3D%26n%3D1&amp;id=0&amp;base=FAMPAT"/>
    <s v="yes"/>
    <s v="GGI"/>
    <x v="1"/>
  </r>
  <r>
    <n v="13"/>
    <s v="Detachable filter drier (Parker)"/>
    <x v="1"/>
    <m/>
    <m/>
    <m/>
    <m/>
    <m/>
    <n v="3"/>
    <n v="-1"/>
    <s v="https://permalink.orbit.com/RenderStaticFirstPage?XPN=MmrCdPfOpZEkIseuZagJI7msLuw%252FR4oY%252BQgpgFzVRnM%3D%26n%3D1&amp;id=0&amp;base=FAMPAT"/>
    <s v="yes"/>
    <s v="GGI"/>
    <x v="1"/>
  </r>
  <r>
    <n v="14"/>
    <s v="Solid core "/>
    <x v="0"/>
    <m/>
    <m/>
    <m/>
    <m/>
    <m/>
    <n v="0"/>
    <n v="0"/>
    <m/>
    <s v="no"/>
    <s v="N.A."/>
    <x v="3"/>
  </r>
  <r>
    <n v="15"/>
    <s v="Modular core"/>
    <x v="0"/>
    <m/>
    <m/>
    <m/>
    <m/>
    <m/>
    <n v="2"/>
    <n v="0"/>
    <m/>
    <s v="no"/>
    <s v="Krishnamoorthy/Everardo"/>
    <x v="0"/>
  </r>
  <r>
    <n v="16"/>
    <s v="4A Molecular Sieve"/>
    <x v="0"/>
    <m/>
    <m/>
    <m/>
    <m/>
    <m/>
    <n v="1"/>
    <n v="0"/>
    <s v="https://danfoss-my.sharepoint.com/personal/foulladpour_danfoss_com/Documents/Cost%20Down%20Enginnering/Projects/Filter%20dryer/Core%20investigation/300_FilterDrierSolidCore/Protocol_FilterDrierSolidCore_AlternativesChallenges&amp;CostCalculations.docx?web=1"/>
    <s v="yes"/>
    <s v="Ali"/>
    <x v="0"/>
  </r>
  <r>
    <n v="17"/>
    <s v="Metal sheet shell"/>
    <x v="1"/>
    <m/>
    <m/>
    <m/>
    <m/>
    <m/>
    <n v="0"/>
    <n v="0"/>
    <m/>
    <s v="no"/>
    <s v="N.A."/>
    <x v="0"/>
  </r>
  <r>
    <n v="18"/>
    <s v="Aluminum Spinning Housing"/>
    <x v="1"/>
    <m/>
    <m/>
    <m/>
    <m/>
    <m/>
    <n v="1"/>
    <n v="0"/>
    <s v="https://danfoss.sharepoint.com/sites/ProductTechnologyStrategy/_layouts/15/Doc.aspx?OR=teams&amp;action=edit&amp;sourcedoc={6D5A5EF9-7EBB-4A21-A56A-9C42B5E18FDE}"/>
    <s v="yes"/>
    <s v="N.A:"/>
    <x v="0"/>
  </r>
  <r>
    <n v="19"/>
    <s v="Additional filter in the spring (Sanhua)"/>
    <x v="2"/>
    <m/>
    <m/>
    <m/>
    <m/>
    <m/>
    <n v="3"/>
    <n v="0"/>
    <s v="https://www.lens.org/lens/patent/183-208-649-463-739"/>
    <s v="yes"/>
    <s v="IP Stefano"/>
    <x v="1"/>
  </r>
  <r>
    <n v="20"/>
    <s v="Stainless steel housing"/>
    <x v="1"/>
    <m/>
    <m/>
    <m/>
    <m/>
    <m/>
    <n v="2"/>
    <n v="0"/>
    <m/>
    <s v="no"/>
    <s v="Mario De La Rosa"/>
    <x v="0"/>
  </r>
  <r>
    <n v="21"/>
    <s v="Clamping mechanism"/>
    <x v="1"/>
    <m/>
    <m/>
    <m/>
    <m/>
    <m/>
    <n v="3"/>
    <n v="0"/>
    <s v="https://permalink.orbit.com/RenderStaticFirstPage?XPN=oeTDsN2cVxPh7svUaWmo55NXe7dphUsu7KxJINoFg8I%3D%26n%3D1&amp;id=0&amp;base=FAMPAT"/>
    <s v="yes"/>
    <s v="GGI"/>
    <x v="1"/>
  </r>
  <r>
    <n v="22"/>
    <s v="Plastic Molecular Sieve"/>
    <x v="0"/>
    <m/>
    <m/>
    <m/>
    <m/>
    <m/>
    <n v="3"/>
    <n v="0"/>
    <m/>
    <s v="no"/>
    <s v="Jose Everardo"/>
    <x v="0"/>
  </r>
  <r>
    <n v="23"/>
    <s v="Activated allumina in core"/>
    <x v="3"/>
    <m/>
    <m/>
    <m/>
    <m/>
    <m/>
    <n v="0"/>
    <n v="0"/>
    <m/>
    <s v="no"/>
    <s v="N.A"/>
    <x v="3"/>
  </r>
  <r>
    <n v="24"/>
    <s v="Epoxy binder alternatives"/>
    <x v="0"/>
    <m/>
    <m/>
    <m/>
    <m/>
    <m/>
    <n v="2"/>
    <n v="0"/>
    <m/>
    <s v="no"/>
    <s v="Rasmus"/>
    <x v="0"/>
  </r>
  <r>
    <n v="25"/>
    <s v="Water adsorption resin"/>
    <x v="0"/>
    <m/>
    <m/>
    <m/>
    <m/>
    <m/>
    <n v="3"/>
    <n v="0"/>
    <m/>
    <s v="yes"/>
    <s v="IP Stefano"/>
    <x v="1"/>
  </r>
  <r>
    <n v="26"/>
    <s v="Loose beads core"/>
    <x v="0"/>
    <m/>
    <m/>
    <m/>
    <m/>
    <m/>
    <n v="3"/>
    <n v="0"/>
    <m/>
    <s v="no"/>
    <s v="Rasmus"/>
    <x v="0"/>
  </r>
  <r>
    <n v="27"/>
    <s v="Membrane technology"/>
    <x v="0"/>
    <m/>
    <m/>
    <m/>
    <m/>
    <m/>
    <n v="3"/>
    <n v="0"/>
    <m/>
    <s v="no"/>
    <s v="Stefano/Vahid"/>
    <x v="2"/>
  </r>
  <r>
    <n v="28"/>
    <s v="Acid removal device"/>
    <x v="3"/>
    <m/>
    <m/>
    <m/>
    <m/>
    <m/>
    <n v="3"/>
    <n v="0"/>
    <m/>
    <s v="no"/>
    <s v="Rasmus"/>
    <x v="0"/>
  </r>
  <r>
    <n v="29"/>
    <s v="Drying agent "/>
    <x v="0"/>
    <m/>
    <m/>
    <m/>
    <m/>
    <m/>
    <n v="3"/>
    <n v="0"/>
    <m/>
    <s v="no"/>
    <s v="IP Stefa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345BB-5060-4B5E-9A09-824BCD105435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4">
    <pivotField showAll="0"/>
    <pivotField dataField="1" showAll="0"/>
    <pivotField axis="axisRow" showAll="0">
      <items count="5">
        <item n="Moisture removal" x="0"/>
        <item n="Particle removal" x="2"/>
        <item n="Acid removal" x="3"/>
        <item n="Encapsulation/Sealing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chnology titl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C9EF6-E1B0-403F-A525-708876289DD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:B16" firstHeaderRow="1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chnology titl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8027B-5A9B-4286-9E53-8FDFA03E90FE}" name="Table3" displayName="Table3" ref="A3:N34" totalsRowShown="0" headerRowDxfId="17" dataDxfId="15" headerRowBorderDxfId="16" tableBorderDxfId="14">
  <autoFilter ref="A3:N34" xr:uid="{324B99C5-01C3-488D-88B2-5906918B39FC}"/>
  <sortState xmlns:xlrd2="http://schemas.microsoft.com/office/spreadsheetml/2017/richdata2" ref="A4:N34">
    <sortCondition ref="C3:C34"/>
  </sortState>
  <tableColumns count="14">
    <tableColumn id="1" xr3:uid="{3BD061C5-4DE2-41C7-BAA8-360AC21368F0}" name="Number" dataDxfId="13"/>
    <tableColumn id="2" xr3:uid="{53F0CB54-A86A-4494-9268-59F9CD732C02}" name="Technology title" dataDxfId="12"/>
    <tableColumn id="3" xr3:uid="{FD610A63-9DF3-4DE7-BB0C-9471BD34BCD7}" name="Category" dataDxfId="11"/>
    <tableColumn id="4" xr3:uid="{4510F7AD-7747-42E9-8014-D83293ADF2E7}" name="New technology?" dataDxfId="10"/>
    <tableColumn id="5" xr3:uid="{AB810C49-573F-4773-916E-9D83D4AB9BEA}" name="Important development?" dataDxfId="9"/>
    <tableColumn id="6" xr3:uid="{6419F0B6-EEE9-4B1B-86DA-D2DD6473EDA8}" name="System changes?" dataDxfId="8"/>
    <tableColumn id="7" xr3:uid="{E47DEC35-F3C7-4092-83CD-98257F08B69D}" name="Application changes?" dataDxfId="7"/>
    <tableColumn id="8" xr3:uid="{A28DA079-97B6-4CB4-AEE8-16E263EB90F4}" name="Selection_x000a__x000a_" dataDxfId="6"/>
    <tableColumn id="9" xr3:uid="{66ABF07A-0A25-4F3E-B782-637F9A64C61E}" name="Effort level" dataDxfId="5"/>
    <tableColumn id="10" xr3:uid="{167A6B00-6E01-4F45-A6BD-4205306C9921}" name="Importance" dataDxfId="4"/>
    <tableColumn id="11" xr3:uid="{2461832C-AF70-4C49-910F-DC3715341041}" name="SharePoint link" dataDxfId="3"/>
    <tableColumn id="12" xr3:uid="{7709A397-8240-42D3-B6B3-C541362787A4}" name="One Pager" dataDxfId="2"/>
    <tableColumn id="13" xr3:uid="{EF3A78B0-86F0-4FB8-8DAA-2F8B5B1BA71A}" name="Contact person" dataDxfId="1"/>
    <tableColumn id="14" xr3:uid="{EA964A12-90F1-4B15-B42E-4140C8C50A48}" name="Source of info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2C086-25F6-4243-9DED-3C2DB804960B}" name="Table1" displayName="Table1" ref="B2:G9" totalsRowShown="0">
  <autoFilter ref="B2:G9" xr:uid="{7E30EFE9-A1BF-4FC9-9039-154BF3C3EBAB}"/>
  <tableColumns count="6">
    <tableColumn id="1" xr3:uid="{0400A6E4-4766-417F-90A4-BBB94A20DAD9}" name="Contact"/>
    <tableColumn id="2" xr3:uid="{684C0A62-3E6F-4D49-A58C-895815943435}" name="When"/>
    <tableColumn id="3" xr3:uid="{DC06AD13-FA28-48ED-93CA-15B5A65668AF}" name="Topic"/>
    <tableColumn id="4" xr3:uid="{57073080-ACB8-472D-8910-DEE5D9279DF5}" name="Reply"/>
    <tableColumn id="5" xr3:uid="{26D724EC-D5B1-4808-9AD3-F177998E68EA}" name="Action taken"/>
    <tableColumn id="6" xr3:uid="{333ADED8-F786-4974-B17C-FC1CED4A5407}" name="To 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0-10-07T13:32:28.87" personId="{D6EAB3BD-FB83-4464-9BE6-8AC5FEDB19E9}" id="{7BD36F2D-E752-44B2-A624-292B46AC1295}">
    <text>To be better decided with assessment process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../../_layouts/15/Doc.aspx?OR=teams&amp;action=edit&amp;sourcedoc=%7b6D5A5EF9-7EBB-4A21-A56A-9C42B5E18FDE%7d" TargetMode="External"/><Relationship Id="rId18" Type="http://schemas.openxmlformats.org/officeDocument/2006/relationships/hyperlink" Target="../../../../../:p:/s/ProductTechnologyStrategy/EVt28944mKhFjWTh1O60QVcBd6kHyrZ_a3BlEjOp1aJWjw?e=BCGlnW" TargetMode="External"/><Relationship Id="rId26" Type="http://schemas.openxmlformats.org/officeDocument/2006/relationships/hyperlink" Target="../../../../../:p:/s/ProductTechnologyStrategy/Ea5uRFLEDKVCo53NSA7gNUsBcE7wS5Mb49uAVU5cXO2Acw?e=TS95NI" TargetMode="External"/><Relationship Id="rId21" Type="http://schemas.openxmlformats.org/officeDocument/2006/relationships/hyperlink" Target="../../../../../:p:/s/ProductTechnologyStrategy/EQdxaQYJ9IVKmz3KqLJ8keoB4DHE71hTZdYMxHxFRgwvxQ?e=BnkfIT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permalink.orbit.com/RenderStaticFirstPage?XPN=N0aX%252BYoopBr4%252BC%252F5M6pym3fDUqlXTJ5uwQdFuycu4uk%3D%26n%3D1&amp;id=0&amp;base=FAMPAT" TargetMode="External"/><Relationship Id="rId12" Type="http://schemas.openxmlformats.org/officeDocument/2006/relationships/hyperlink" Target="https://static1.squarespace.com/static/568fc9bac21b86decbc1965f/t/58ebca4d579fb3beba63aaa5/1491847758750/APP001c+-+June+2008.pdf" TargetMode="External"/><Relationship Id="rId17" Type="http://schemas.openxmlformats.org/officeDocument/2006/relationships/hyperlink" Target="../../../../../:p:/s/ProductTechnologyStrategy/ESP6aU6vlgxKqRSRs92N9S4BbX2IbQi8hVrv6MHwm2T-gA?e=eo8ek9&amp;wdLOR=c20BC3A93-7346-4FCE-B42D-E3244D4EEF4C" TargetMode="External"/><Relationship Id="rId25" Type="http://schemas.openxmlformats.org/officeDocument/2006/relationships/hyperlink" Target="../../../../../:p:/s/ProductTechnologyStrategy/EYbpms0LoLRGk51LocSJyb4Bn9QEXS1IYbqs6qs0_wAXvw?e=cJLndg" TargetMode="External"/><Relationship Id="rId33" Type="http://schemas.openxmlformats.org/officeDocument/2006/relationships/hyperlink" Target="../../../../../:p:/s/ProductTechnologyStrategy/EdCPF0JWlbZOuJ-346irlc4BKZU_wHkypQWyXuzWY39Zgg?e=fbfpa6" TargetMode="External"/><Relationship Id="rId38" Type="http://schemas.microsoft.com/office/2017/10/relationships/threadedComment" Target="../threadedComments/threadedComment1.xml"/><Relationship Id="rId2" Type="http://schemas.openxmlformats.org/officeDocument/2006/relationships/hyperlink" Target="https://teams.microsoft.com/l/file/75A0B3AB-F810-4DFE-BF2D-669FC701AACD?tenantId=097464b8-069c-453e-9254-c17ec707310d&amp;fileType=pdf&amp;objectUrl=https%3A%2F%2Fdanfoss.sharepoint.com%2Fsites%2FProductTechnologyStrategy%2FShared%20Documents%2FGeneral%2FArchive%2FBruce-Danfoss_Filter_Geh%C3%A4use_REV02_2019-11-18.pdf&amp;baseUrl=https%3A%2F%2Fdanfoss.sharepoint.com%2Fsites%2FProductTechnologyStrategy&amp;serviceName=teams&amp;threadId=19:31ceb553cab840399de26bf67df955ec@thread.skype&amp;groupId=b551b913-237e-487f-8b4a-78189d2ca53e" TargetMode="External"/><Relationship Id="rId16" Type="http://schemas.openxmlformats.org/officeDocument/2006/relationships/hyperlink" Target="https://www.lens.org/lens/patent/185-865-273-233-128" TargetMode="External"/><Relationship Id="rId20" Type="http://schemas.openxmlformats.org/officeDocument/2006/relationships/hyperlink" Target="../../../../../:p:/s/ProductTechnologyStrategy/EV9yDw9zZtRJpLwEA-WU-5QBYxZt8RkUH4dCymld9ySE3w?e=wviZvW" TargetMode="External"/><Relationship Id="rId29" Type="http://schemas.openxmlformats.org/officeDocument/2006/relationships/hyperlink" Target="../../../../../:p:/s/ProductTechnologyStrategy/Ecfkz_zfiu1Kqd5YxoC1IncBsQTu8BIUlcOxFYl11KbnuQ?e=oqTRQz" TargetMode="External"/><Relationship Id="rId1" Type="http://schemas.openxmlformats.org/officeDocument/2006/relationships/hyperlink" Target="../../../../../:p:/s/ProductTechnologyStrategy/ETkKK2YquPpMouGtEcgd34sBMuRj6CFGRnfzXbQ3hW-m0Q?e=sTVzBj" TargetMode="External"/><Relationship Id="rId6" Type="http://schemas.openxmlformats.org/officeDocument/2006/relationships/hyperlink" Target="https://permalink.orbit.com/RenderStaticFirstPage?XPN=w2cCEaPc1R7jCoOEB2EWlnfDUqlXTJ5uwQdFuycu4uk%3D%26n%3D1&amp;id=0&amp;base=FAMPAT" TargetMode="External"/><Relationship Id="rId11" Type="http://schemas.openxmlformats.org/officeDocument/2006/relationships/hyperlink" Target="https://danfoss-my.sharepoint.com/personal/foulladpour_danfoss_com/Documents/Cost%20Down%20Enginnering/Projects/Filter%20dryer/Core%20investigation/300_FilterDrierSolidCore/Protocol_FilterDrierSolidCore_AlternativesChallenges&amp;CostCalculations.docx?web=1" TargetMode="External"/><Relationship Id="rId24" Type="http://schemas.openxmlformats.org/officeDocument/2006/relationships/hyperlink" Target="../../../../../:p:/s/ProductTechnologyStrategy/Ec44ZF4Qg9tLkjaiT4AK6hIB-4m65GrgRAmvYDLCTCpLFg?e=hrUHJB" TargetMode="External"/><Relationship Id="rId32" Type="http://schemas.openxmlformats.org/officeDocument/2006/relationships/hyperlink" Target="../../../../../:p:/s/ProductTechnologyStrategy/Ee6fAr8acdlNpSqNtVhFJY8Bb6UaHPjHJArVDJQf5ZUrSA?e=MzfyoR" TargetMode="External"/><Relationship Id="rId37" Type="http://schemas.openxmlformats.org/officeDocument/2006/relationships/comments" Target="../comments1.xml"/><Relationship Id="rId5" Type="http://schemas.openxmlformats.org/officeDocument/2006/relationships/hyperlink" Target="https://permalink.orbit.com/RenderStaticFirstPage?XPN=Hc3mvMko61yOyNk1Ee3fiJNXe7dphUsu7KxJINoFg8I%3D%26n%3D1&amp;id=0&amp;base=FAMPAT" TargetMode="External"/><Relationship Id="rId15" Type="http://schemas.openxmlformats.org/officeDocument/2006/relationships/hyperlink" Target="https://permalink.orbit.com/RenderStaticFirstPage?XPN=oeTDsN2cVxPh7svUaWmo55NXe7dphUsu7KxJINoFg8I%3D%26n%3D1&amp;id=0&amp;base=FAMPAT" TargetMode="External"/><Relationship Id="rId23" Type="http://schemas.openxmlformats.org/officeDocument/2006/relationships/hyperlink" Target="../../../../../:p:/s/ProductTechnologyStrategy/EU3iHETOqohLhSGU68eYENgBGi0mxFRI_U13HxTanachPA?e=X6sRm4" TargetMode="External"/><Relationship Id="rId28" Type="http://schemas.openxmlformats.org/officeDocument/2006/relationships/hyperlink" Target="../../../../../:p:/s/ProductTechnologyStrategy/EbRl94GIyjJOn0zh_GDYadoBeQkR8AprKnpMPT_qk3j2ZQ?e=w5dkwc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lens.org/lens/patent/183-208-649-463-739" TargetMode="External"/><Relationship Id="rId19" Type="http://schemas.openxmlformats.org/officeDocument/2006/relationships/hyperlink" Target="../../../../../:p:/s/ProductTechnologyStrategy/Ect2srk6RUJFhd4TUWi0WyMBUOZJLwXZgxNblZEZlUFKSw?e=CJh7QA" TargetMode="External"/><Relationship Id="rId31" Type="http://schemas.openxmlformats.org/officeDocument/2006/relationships/hyperlink" Target="../../../../../:p:/s/ProductTechnologyStrategy/EbKSxeHq8FBBrOdPA9tEENwB1dKGntYoW0lIwP7gSwjyJQ?e=BfayLA" TargetMode="External"/><Relationship Id="rId4" Type="http://schemas.openxmlformats.org/officeDocument/2006/relationships/hyperlink" Target="https://permalink.orbit.com/RenderStaticFirstPage?XPN=SCmvc4H9PjcnSAEzkE84YJNXe7dphUsu7KxJINoFg8I%3D%26n%3D1&amp;id=0&amp;base=FAMPAT" TargetMode="External"/><Relationship Id="rId9" Type="http://schemas.openxmlformats.org/officeDocument/2006/relationships/hyperlink" Target="https://danfoss-my.sharepoint.com/personal/foulladpour_danfoss_com/Documents/Cost%20Down%20Enginnering/Projects/Filter%20dryer/Core%20investigation/300_FilterDrierSolidCore/Protocol_FilterDrierSolidCore_AlternativesChallenges&amp;CostCalculations.docx?web=1" TargetMode="External"/><Relationship Id="rId14" Type="http://schemas.openxmlformats.org/officeDocument/2006/relationships/hyperlink" Target="https://www.gea.com/en/products/refrigeration-heating/gea-ammonia-dryer.jsp" TargetMode="External"/><Relationship Id="rId22" Type="http://schemas.openxmlformats.org/officeDocument/2006/relationships/hyperlink" Target="../../../../../:p:/s/ProductTechnologyStrategy/EZrA2yJBddtJoRBUW0bHfGQBzV4Au4Is-4aN0hDWgundGg?e=wl3MWk" TargetMode="External"/><Relationship Id="rId27" Type="http://schemas.openxmlformats.org/officeDocument/2006/relationships/hyperlink" Target="../../../../../:p:/s/ProductTechnologyStrategy/EQOzDikNWKdPmW25XxykTxgBbLFgQC1ovNnDOjgFjvKvaw?e=muw66c" TargetMode="External"/><Relationship Id="rId30" Type="http://schemas.openxmlformats.org/officeDocument/2006/relationships/hyperlink" Target="../../../../../:p:/s/ProductTechnologyStrategy/Ea3BxQM46dRMu786Aer-3z8ByHQTtutlqzXfnmlJvvnKIQ?e=h4phh7" TargetMode="External"/><Relationship Id="rId35" Type="http://schemas.openxmlformats.org/officeDocument/2006/relationships/vmlDrawing" Target="../drawings/vmlDrawing1.vml"/><Relationship Id="rId8" Type="http://schemas.openxmlformats.org/officeDocument/2006/relationships/hyperlink" Target="https://permalink.orbit.com/RenderStaticFirstPage?XPN=MmrCdPfOpZEkIseuZagJI7msLuw%252FR4oY%252BQgpgFzVRnM%3D%26n%3D1&amp;id=0&amp;base=FAMPAT" TargetMode="External"/><Relationship Id="rId3" Type="http://schemas.openxmlformats.org/officeDocument/2006/relationships/hyperlink" Target="https://permalink.orbit.com/RenderStaticFirstPage?XPN=y3Yz6a18nVu2VIMa0HA13ZNXe7dphUsu7KxJINoFg8I%3D%26n%3D1&amp;id=0&amp;base=FAMPA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9AA0-FFE0-4C61-80D2-220AFF437827}">
  <dimension ref="A1:A9"/>
  <sheetViews>
    <sheetView showGridLines="0" zoomScale="115" zoomScaleNormal="115" workbookViewId="0">
      <selection activeCell="D9" sqref="D9"/>
    </sheetView>
  </sheetViews>
  <sheetFormatPr defaultRowHeight="15" x14ac:dyDescent="0.25"/>
  <sheetData>
    <row r="1" spans="1:1" ht="18.75" x14ac:dyDescent="0.3">
      <c r="A1" s="31" t="s">
        <v>118</v>
      </c>
    </row>
    <row r="2" spans="1:1" x14ac:dyDescent="0.25">
      <c r="A2" t="s">
        <v>119</v>
      </c>
    </row>
    <row r="3" spans="1:1" x14ac:dyDescent="0.25">
      <c r="A3" t="s">
        <v>107</v>
      </c>
    </row>
    <row r="4" spans="1:1" x14ac:dyDescent="0.25">
      <c r="A4" t="s">
        <v>104</v>
      </c>
    </row>
    <row r="5" spans="1:1" x14ac:dyDescent="0.25">
      <c r="A5" t="s">
        <v>120</v>
      </c>
    </row>
    <row r="6" spans="1:1" x14ac:dyDescent="0.25">
      <c r="A6" t="s">
        <v>104</v>
      </c>
    </row>
    <row r="7" spans="1:1" x14ac:dyDescent="0.25">
      <c r="A7" t="s">
        <v>120</v>
      </c>
    </row>
    <row r="8" spans="1:1" x14ac:dyDescent="0.25">
      <c r="A8" t="s">
        <v>120</v>
      </c>
    </row>
    <row r="9" spans="1:1" x14ac:dyDescent="0.25">
      <c r="A9" t="s">
        <v>120</v>
      </c>
    </row>
  </sheetData>
  <pageMargins left="0.7" right="0.7" top="0.75" bottom="0.75" header="0.3" footer="0.3"/>
  <pageSetup paperSize="9" orientation="portrait" r:id="rId1"/>
  <headerFooter>
    <oddFooter>&amp;C&amp;1#&amp;"Calibri"&amp;10&amp;K000000Classified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A10" zoomScale="80" zoomScaleNormal="80" workbookViewId="0">
      <pane xSplit="2" topLeftCell="C1" activePane="topRight" state="frozen"/>
      <selection pane="topRight" activeCell="I44" sqref="I44"/>
    </sheetView>
  </sheetViews>
  <sheetFormatPr defaultColWidth="9.140625" defaultRowHeight="15" x14ac:dyDescent="0.25"/>
  <cols>
    <col min="1" max="1" width="9.85546875" style="1" customWidth="1"/>
    <col min="2" max="2" width="41.28515625" style="1" bestFit="1" customWidth="1"/>
    <col min="3" max="3" width="27.28515625" style="1" customWidth="1"/>
    <col min="4" max="4" width="16.140625" style="1" hidden="1" customWidth="1"/>
    <col min="5" max="5" width="15.140625" style="1" hidden="1" customWidth="1"/>
    <col min="6" max="6" width="6.42578125" style="1" hidden="1" customWidth="1"/>
    <col min="7" max="7" width="6.5703125" style="1" hidden="1" customWidth="1"/>
    <col min="8" max="8" width="12.28515625" style="1" hidden="1" customWidth="1"/>
    <col min="9" max="9" width="21.28515625" style="1" customWidth="1"/>
    <col min="10" max="10" width="24.28515625" style="1" bestFit="1" customWidth="1"/>
    <col min="11" max="11" width="33.85546875" style="1" customWidth="1"/>
    <col min="12" max="12" width="25.7109375" style="1" bestFit="1" customWidth="1"/>
    <col min="13" max="13" width="28" style="1" bestFit="1" customWidth="1"/>
    <col min="14" max="14" width="22" style="1" customWidth="1"/>
    <col min="15" max="16384" width="9.140625" style="1"/>
  </cols>
  <sheetData>
    <row r="1" spans="1:14" ht="52.15" customHeight="1" x14ac:dyDescent="0.25"/>
    <row r="2" spans="1:14" ht="60.75" thickBot="1" x14ac:dyDescent="0.3">
      <c r="B2" s="7" t="s">
        <v>138</v>
      </c>
      <c r="C2" s="14" t="s">
        <v>121</v>
      </c>
      <c r="D2" s="35" t="s">
        <v>67</v>
      </c>
      <c r="E2" s="35"/>
      <c r="F2" s="35"/>
      <c r="G2" s="35"/>
      <c r="H2" s="9"/>
      <c r="I2" s="14" t="s">
        <v>99</v>
      </c>
      <c r="J2" s="14" t="s">
        <v>100</v>
      </c>
    </row>
    <row r="3" spans="1:14" ht="36" customHeight="1" thickBot="1" x14ac:dyDescent="0.3">
      <c r="A3" s="15" t="s">
        <v>2</v>
      </c>
      <c r="B3" s="16" t="s">
        <v>1</v>
      </c>
      <c r="C3" s="17" t="s">
        <v>114</v>
      </c>
      <c r="D3" s="18" t="s">
        <v>63</v>
      </c>
      <c r="E3" s="18" t="s">
        <v>64</v>
      </c>
      <c r="F3" s="18" t="s">
        <v>65</v>
      </c>
      <c r="G3" s="18" t="s">
        <v>66</v>
      </c>
      <c r="H3" s="19" t="s">
        <v>68</v>
      </c>
      <c r="I3" s="17" t="s">
        <v>115</v>
      </c>
      <c r="J3" s="13" t="s">
        <v>116</v>
      </c>
      <c r="K3" s="12" t="s">
        <v>0</v>
      </c>
      <c r="L3" s="20" t="s">
        <v>74</v>
      </c>
      <c r="M3" s="12" t="s">
        <v>6</v>
      </c>
      <c r="N3" s="21" t="s">
        <v>76</v>
      </c>
    </row>
    <row r="4" spans="1:14" x14ac:dyDescent="0.25">
      <c r="A4" s="5">
        <v>23</v>
      </c>
      <c r="B4" s="11" t="s">
        <v>86</v>
      </c>
      <c r="C4" s="4">
        <v>0</v>
      </c>
      <c r="D4" s="10"/>
      <c r="E4" s="10"/>
      <c r="F4" s="10"/>
      <c r="G4" s="10"/>
      <c r="H4" s="10"/>
      <c r="I4" s="2">
        <v>0</v>
      </c>
      <c r="J4" s="5">
        <v>0</v>
      </c>
      <c r="K4" s="5"/>
      <c r="L4" s="25" t="s">
        <v>56</v>
      </c>
      <c r="M4" s="4" t="s">
        <v>88</v>
      </c>
      <c r="N4" s="11" t="s">
        <v>109</v>
      </c>
    </row>
    <row r="5" spans="1:14" x14ac:dyDescent="0.25">
      <c r="A5" s="5">
        <v>28</v>
      </c>
      <c r="B5" s="11" t="s">
        <v>95</v>
      </c>
      <c r="C5" s="5">
        <v>0</v>
      </c>
      <c r="D5" s="11"/>
      <c r="E5" s="11"/>
      <c r="F5" s="11"/>
      <c r="G5" s="11"/>
      <c r="H5" s="11"/>
      <c r="I5" s="3">
        <v>3</v>
      </c>
      <c r="J5" s="5">
        <v>0</v>
      </c>
      <c r="K5" s="5"/>
      <c r="L5" s="27" t="s">
        <v>56</v>
      </c>
      <c r="M5" s="5" t="s">
        <v>89</v>
      </c>
      <c r="N5" s="11" t="s">
        <v>77</v>
      </c>
    </row>
    <row r="6" spans="1:14" x14ac:dyDescent="0.25">
      <c r="A6" s="5">
        <v>2</v>
      </c>
      <c r="B6" s="11" t="s">
        <v>75</v>
      </c>
      <c r="C6" s="5">
        <v>1</v>
      </c>
      <c r="D6" s="10"/>
      <c r="E6" s="10"/>
      <c r="F6" s="10"/>
      <c r="G6" s="10"/>
      <c r="H6" s="10"/>
      <c r="I6" s="3">
        <v>3</v>
      </c>
      <c r="J6" s="5">
        <v>1</v>
      </c>
      <c r="K6" s="29" t="s">
        <v>12</v>
      </c>
      <c r="L6" s="33" t="s">
        <v>122</v>
      </c>
      <c r="M6" s="5" t="s">
        <v>7</v>
      </c>
      <c r="N6" s="11" t="s">
        <v>79</v>
      </c>
    </row>
    <row r="7" spans="1:14" x14ac:dyDescent="0.25">
      <c r="A7" s="5">
        <v>6</v>
      </c>
      <c r="B7" s="11" t="s">
        <v>5</v>
      </c>
      <c r="C7" s="5">
        <v>1</v>
      </c>
      <c r="D7" s="10"/>
      <c r="E7" s="10"/>
      <c r="F7" s="10"/>
      <c r="G7" s="10"/>
      <c r="H7" s="10"/>
      <c r="I7" s="3">
        <v>3</v>
      </c>
      <c r="J7" s="5">
        <v>1</v>
      </c>
      <c r="K7" s="29" t="s">
        <v>17</v>
      </c>
      <c r="L7" s="33" t="s">
        <v>123</v>
      </c>
      <c r="M7" s="5" t="s">
        <v>7</v>
      </c>
      <c r="N7" s="11" t="s">
        <v>79</v>
      </c>
    </row>
    <row r="8" spans="1:14" x14ac:dyDescent="0.25">
      <c r="A8" s="5">
        <v>9</v>
      </c>
      <c r="B8" s="11" t="s">
        <v>34</v>
      </c>
      <c r="C8" s="5">
        <v>1</v>
      </c>
      <c r="D8" s="10"/>
      <c r="E8" s="10"/>
      <c r="F8" s="10"/>
      <c r="G8" s="10"/>
      <c r="H8" s="10"/>
      <c r="I8" s="3">
        <v>1</v>
      </c>
      <c r="J8" s="5">
        <v>0</v>
      </c>
      <c r="K8" s="28" t="s">
        <v>4</v>
      </c>
      <c r="L8" s="33" t="s">
        <v>124</v>
      </c>
      <c r="M8" s="5" t="s">
        <v>8</v>
      </c>
      <c r="N8" s="11" t="s">
        <v>77</v>
      </c>
    </row>
    <row r="9" spans="1:14" x14ac:dyDescent="0.25">
      <c r="A9" s="5">
        <v>13</v>
      </c>
      <c r="B9" s="11" t="s">
        <v>19</v>
      </c>
      <c r="C9" s="5">
        <v>4</v>
      </c>
      <c r="D9" s="10"/>
      <c r="E9" s="10"/>
      <c r="F9" s="10"/>
      <c r="G9" s="10"/>
      <c r="H9" s="10"/>
      <c r="I9" s="8">
        <v>3</v>
      </c>
      <c r="J9" s="5">
        <v>-1</v>
      </c>
      <c r="K9" s="29" t="s">
        <v>20</v>
      </c>
      <c r="L9" s="33" t="s">
        <v>125</v>
      </c>
      <c r="M9" s="5" t="s">
        <v>7</v>
      </c>
      <c r="N9" s="11" t="s">
        <v>79</v>
      </c>
    </row>
    <row r="10" spans="1:14" x14ac:dyDescent="0.25">
      <c r="A10" s="5">
        <v>17</v>
      </c>
      <c r="B10" s="11" t="s">
        <v>33</v>
      </c>
      <c r="C10" s="5">
        <v>1</v>
      </c>
      <c r="D10" s="10"/>
      <c r="E10" s="10"/>
      <c r="F10" s="10"/>
      <c r="G10" s="10"/>
      <c r="H10" s="10"/>
      <c r="I10" s="3">
        <v>0</v>
      </c>
      <c r="J10" s="5">
        <v>0</v>
      </c>
      <c r="K10" s="5"/>
      <c r="L10" s="26" t="s">
        <v>56</v>
      </c>
      <c r="M10" s="5" t="s">
        <v>60</v>
      </c>
      <c r="N10" s="11" t="s">
        <v>77</v>
      </c>
    </row>
    <row r="11" spans="1:14" x14ac:dyDescent="0.25">
      <c r="A11" s="5">
        <v>18</v>
      </c>
      <c r="B11" s="11" t="s">
        <v>70</v>
      </c>
      <c r="C11" s="5">
        <v>1</v>
      </c>
      <c r="D11" s="10"/>
      <c r="E11" s="10"/>
      <c r="F11" s="10"/>
      <c r="G11" s="10"/>
      <c r="H11" s="10"/>
      <c r="I11" s="3">
        <v>1</v>
      </c>
      <c r="J11" s="5">
        <v>0</v>
      </c>
      <c r="K11" s="28" t="s">
        <v>69</v>
      </c>
      <c r="L11" s="33" t="s">
        <v>126</v>
      </c>
      <c r="M11" s="5" t="s">
        <v>61</v>
      </c>
      <c r="N11" s="11" t="s">
        <v>77</v>
      </c>
    </row>
    <row r="12" spans="1:14" x14ac:dyDescent="0.25">
      <c r="A12" s="5">
        <v>20</v>
      </c>
      <c r="B12" s="11" t="s">
        <v>71</v>
      </c>
      <c r="C12" s="5">
        <v>1</v>
      </c>
      <c r="D12" s="10"/>
      <c r="E12" s="10"/>
      <c r="F12" s="10"/>
      <c r="G12" s="10"/>
      <c r="H12" s="10"/>
      <c r="I12" s="3">
        <v>2</v>
      </c>
      <c r="J12" s="5">
        <v>0</v>
      </c>
      <c r="K12" s="5"/>
      <c r="L12" s="26" t="s">
        <v>56</v>
      </c>
      <c r="M12" s="5" t="s">
        <v>72</v>
      </c>
      <c r="N12" s="11" t="s">
        <v>77</v>
      </c>
    </row>
    <row r="13" spans="1:14" x14ac:dyDescent="0.25">
      <c r="A13" s="5">
        <v>21</v>
      </c>
      <c r="B13" s="11" t="s">
        <v>82</v>
      </c>
      <c r="C13" s="5">
        <v>1</v>
      </c>
      <c r="D13" s="10"/>
      <c r="E13" s="10"/>
      <c r="F13" s="10"/>
      <c r="G13" s="10"/>
      <c r="H13" s="10"/>
      <c r="I13" s="3">
        <v>3</v>
      </c>
      <c r="J13" s="5">
        <v>0</v>
      </c>
      <c r="K13" s="28" t="s">
        <v>83</v>
      </c>
      <c r="L13" s="33" t="s">
        <v>127</v>
      </c>
      <c r="M13" s="5" t="s">
        <v>7</v>
      </c>
      <c r="N13" s="11" t="s">
        <v>79</v>
      </c>
    </row>
    <row r="14" spans="1:14" x14ac:dyDescent="0.25">
      <c r="A14" s="5">
        <v>1</v>
      </c>
      <c r="B14" s="11" t="s">
        <v>30</v>
      </c>
      <c r="C14" s="5">
        <v>2</v>
      </c>
      <c r="D14" s="10"/>
      <c r="E14" s="10"/>
      <c r="F14" s="10"/>
      <c r="G14" s="10"/>
      <c r="H14" s="10"/>
      <c r="I14" s="3">
        <v>2</v>
      </c>
      <c r="J14" s="5">
        <v>1</v>
      </c>
      <c r="K14" s="28" t="s">
        <v>24</v>
      </c>
      <c r="L14" s="33" t="s">
        <v>128</v>
      </c>
      <c r="M14" s="5" t="s">
        <v>22</v>
      </c>
      <c r="N14" s="11" t="s">
        <v>77</v>
      </c>
    </row>
    <row r="15" spans="1:14" x14ac:dyDescent="0.25">
      <c r="A15" s="5">
        <v>3</v>
      </c>
      <c r="B15" s="11" t="s">
        <v>26</v>
      </c>
      <c r="C15" s="5">
        <v>2</v>
      </c>
      <c r="D15" s="10"/>
      <c r="E15" s="10"/>
      <c r="F15" s="10"/>
      <c r="G15" s="10"/>
      <c r="H15" s="10"/>
      <c r="I15" s="3">
        <v>2</v>
      </c>
      <c r="J15" s="5">
        <v>0</v>
      </c>
      <c r="K15" s="28" t="s">
        <v>27</v>
      </c>
      <c r="L15" s="33" t="s">
        <v>129</v>
      </c>
      <c r="M15" s="5" t="s">
        <v>60</v>
      </c>
      <c r="N15" s="11" t="s">
        <v>78</v>
      </c>
    </row>
    <row r="16" spans="1:14" x14ac:dyDescent="0.25">
      <c r="A16" s="5">
        <v>5</v>
      </c>
      <c r="B16" s="11" t="s">
        <v>28</v>
      </c>
      <c r="C16" s="5">
        <v>6</v>
      </c>
      <c r="D16" s="10"/>
      <c r="E16" s="10"/>
      <c r="F16" s="10"/>
      <c r="G16" s="10"/>
      <c r="H16" s="10"/>
      <c r="I16" s="3">
        <v>2</v>
      </c>
      <c r="J16" s="5">
        <v>0</v>
      </c>
      <c r="K16" s="28" t="s">
        <v>29</v>
      </c>
      <c r="L16" s="33" t="s">
        <v>130</v>
      </c>
      <c r="M16" s="5" t="s">
        <v>60</v>
      </c>
      <c r="N16" s="11" t="s">
        <v>78</v>
      </c>
    </row>
    <row r="17" spans="1:14" x14ac:dyDescent="0.25">
      <c r="A17" s="5">
        <v>10</v>
      </c>
      <c r="B17" s="11" t="s">
        <v>11</v>
      </c>
      <c r="C17" s="5">
        <v>2</v>
      </c>
      <c r="D17" s="10"/>
      <c r="E17" s="10"/>
      <c r="F17" s="10"/>
      <c r="G17" s="10"/>
      <c r="H17" s="10"/>
      <c r="I17" s="3">
        <v>3</v>
      </c>
      <c r="J17" s="5">
        <v>-1</v>
      </c>
      <c r="K17" s="29" t="s">
        <v>10</v>
      </c>
      <c r="L17" s="33" t="s">
        <v>131</v>
      </c>
      <c r="M17" s="5" t="s">
        <v>7</v>
      </c>
      <c r="N17" s="11" t="s">
        <v>79</v>
      </c>
    </row>
    <row r="18" spans="1:14" x14ac:dyDescent="0.25">
      <c r="A18" s="5">
        <v>14</v>
      </c>
      <c r="B18" s="11" t="s">
        <v>32</v>
      </c>
      <c r="C18" s="5">
        <v>5</v>
      </c>
      <c r="D18" s="10"/>
      <c r="E18" s="10"/>
      <c r="F18" s="10"/>
      <c r="G18" s="10"/>
      <c r="H18" s="10"/>
      <c r="I18" s="3">
        <v>0</v>
      </c>
      <c r="J18" s="5">
        <v>0</v>
      </c>
      <c r="K18" s="5"/>
      <c r="L18" s="26" t="s">
        <v>56</v>
      </c>
      <c r="M18" s="5" t="s">
        <v>60</v>
      </c>
      <c r="N18" s="11" t="s">
        <v>109</v>
      </c>
    </row>
    <row r="19" spans="1:14" x14ac:dyDescent="0.25">
      <c r="A19" s="5">
        <v>15</v>
      </c>
      <c r="B19" s="11" t="s">
        <v>21</v>
      </c>
      <c r="C19" s="5">
        <v>2</v>
      </c>
      <c r="D19" s="10"/>
      <c r="E19" s="10"/>
      <c r="F19" s="10"/>
      <c r="G19" s="10"/>
      <c r="H19" s="10"/>
      <c r="I19" s="3">
        <v>2</v>
      </c>
      <c r="J19" s="5">
        <v>0</v>
      </c>
      <c r="K19" s="5"/>
      <c r="L19" s="26" t="s">
        <v>56</v>
      </c>
      <c r="M19" s="5" t="s">
        <v>62</v>
      </c>
      <c r="N19" s="11" t="s">
        <v>77</v>
      </c>
    </row>
    <row r="20" spans="1:14" x14ac:dyDescent="0.25">
      <c r="A20" s="5">
        <v>16</v>
      </c>
      <c r="B20" s="11" t="s">
        <v>23</v>
      </c>
      <c r="C20" s="5">
        <v>2</v>
      </c>
      <c r="D20" s="10"/>
      <c r="E20" s="10"/>
      <c r="F20" s="10"/>
      <c r="G20" s="10"/>
      <c r="H20" s="10"/>
      <c r="I20" s="3">
        <v>1</v>
      </c>
      <c r="J20" s="5">
        <v>0</v>
      </c>
      <c r="K20" s="28" t="s">
        <v>24</v>
      </c>
      <c r="L20" s="33" t="s">
        <v>132</v>
      </c>
      <c r="M20" s="5" t="s">
        <v>25</v>
      </c>
      <c r="N20" s="11" t="s">
        <v>77</v>
      </c>
    </row>
    <row r="21" spans="1:14" x14ac:dyDescent="0.25">
      <c r="A21" s="5">
        <v>22</v>
      </c>
      <c r="B21" s="11" t="s">
        <v>85</v>
      </c>
      <c r="C21" s="5">
        <v>2</v>
      </c>
      <c r="D21" s="10"/>
      <c r="E21" s="10"/>
      <c r="F21" s="10"/>
      <c r="G21" s="10"/>
      <c r="H21" s="10"/>
      <c r="I21" s="3">
        <v>3</v>
      </c>
      <c r="J21" s="5">
        <v>0</v>
      </c>
      <c r="K21" s="5"/>
      <c r="L21" s="26" t="s">
        <v>56</v>
      </c>
      <c r="M21" s="5" t="s">
        <v>84</v>
      </c>
      <c r="N21" s="11" t="s">
        <v>77</v>
      </c>
    </row>
    <row r="22" spans="1:14" x14ac:dyDescent="0.25">
      <c r="A22" s="5">
        <v>24</v>
      </c>
      <c r="B22" s="11" t="s">
        <v>90</v>
      </c>
      <c r="C22" s="5">
        <v>2</v>
      </c>
      <c r="D22" s="10"/>
      <c r="E22" s="10"/>
      <c r="F22" s="10"/>
      <c r="G22" s="10"/>
      <c r="H22" s="10"/>
      <c r="I22" s="3">
        <v>2</v>
      </c>
      <c r="J22" s="5">
        <v>0</v>
      </c>
      <c r="K22" s="5"/>
      <c r="L22" s="26" t="s">
        <v>56</v>
      </c>
      <c r="M22" s="5" t="s">
        <v>89</v>
      </c>
      <c r="N22" s="11" t="s">
        <v>77</v>
      </c>
    </row>
    <row r="23" spans="1:14" x14ac:dyDescent="0.25">
      <c r="A23" s="5">
        <v>25</v>
      </c>
      <c r="B23" s="11" t="s">
        <v>91</v>
      </c>
      <c r="C23" s="5">
        <v>7</v>
      </c>
      <c r="D23" s="10"/>
      <c r="E23" s="10"/>
      <c r="F23" s="10"/>
      <c r="G23" s="10"/>
      <c r="H23" s="10"/>
      <c r="I23" s="3">
        <v>3</v>
      </c>
      <c r="J23" s="5">
        <v>0</v>
      </c>
      <c r="K23" s="5"/>
      <c r="L23" s="33" t="s">
        <v>133</v>
      </c>
      <c r="M23" s="5" t="s">
        <v>38</v>
      </c>
      <c r="N23" s="11" t="s">
        <v>79</v>
      </c>
    </row>
    <row r="24" spans="1:14" x14ac:dyDescent="0.25">
      <c r="A24" s="5">
        <v>26</v>
      </c>
      <c r="B24" s="11" t="s">
        <v>92</v>
      </c>
      <c r="C24" s="5">
        <v>2</v>
      </c>
      <c r="D24" s="11"/>
      <c r="E24" s="11"/>
      <c r="F24" s="11"/>
      <c r="G24" s="11"/>
      <c r="H24" s="11"/>
      <c r="I24" s="3">
        <v>3</v>
      </c>
      <c r="J24" s="5">
        <v>0</v>
      </c>
      <c r="K24" s="5"/>
      <c r="L24" s="27" t="s">
        <v>56</v>
      </c>
      <c r="M24" s="5" t="s">
        <v>89</v>
      </c>
      <c r="N24" s="11" t="s">
        <v>77</v>
      </c>
    </row>
    <row r="25" spans="1:14" x14ac:dyDescent="0.25">
      <c r="A25" s="5">
        <v>27</v>
      </c>
      <c r="B25" s="11" t="s">
        <v>93</v>
      </c>
      <c r="C25" s="5">
        <v>2</v>
      </c>
      <c r="D25" s="11"/>
      <c r="E25" s="11"/>
      <c r="F25" s="11"/>
      <c r="G25" s="11"/>
      <c r="H25" s="11"/>
      <c r="I25" s="3">
        <v>3</v>
      </c>
      <c r="J25" s="5">
        <v>1</v>
      </c>
      <c r="K25" s="5"/>
      <c r="L25" s="27" t="s">
        <v>56</v>
      </c>
      <c r="M25" s="5" t="s">
        <v>94</v>
      </c>
      <c r="N25" s="11" t="s">
        <v>78</v>
      </c>
    </row>
    <row r="26" spans="1:14" x14ac:dyDescent="0.25">
      <c r="A26" s="5">
        <v>29</v>
      </c>
      <c r="B26" s="1" t="s">
        <v>108</v>
      </c>
      <c r="C26" s="5">
        <v>2</v>
      </c>
      <c r="I26" s="3">
        <v>3</v>
      </c>
      <c r="J26" s="5">
        <v>0</v>
      </c>
      <c r="K26" s="5"/>
      <c r="L26" s="27" t="s">
        <v>56</v>
      </c>
      <c r="M26" s="5" t="s">
        <v>38</v>
      </c>
      <c r="N26" s="1" t="s">
        <v>79</v>
      </c>
    </row>
    <row r="27" spans="1:14" x14ac:dyDescent="0.25">
      <c r="A27" s="5">
        <v>30</v>
      </c>
      <c r="B27" s="1" t="s">
        <v>110</v>
      </c>
      <c r="C27" s="5">
        <v>2</v>
      </c>
      <c r="I27" s="3">
        <v>3</v>
      </c>
      <c r="J27" s="5">
        <v>0</v>
      </c>
      <c r="K27" s="28" t="s">
        <v>111</v>
      </c>
      <c r="L27" s="30" t="s">
        <v>117</v>
      </c>
      <c r="M27" s="5" t="s">
        <v>38</v>
      </c>
      <c r="N27" s="1" t="s">
        <v>79</v>
      </c>
    </row>
    <row r="28" spans="1:14" x14ac:dyDescent="0.25">
      <c r="A28" s="5">
        <v>31</v>
      </c>
      <c r="B28" s="1" t="s">
        <v>112</v>
      </c>
      <c r="C28" s="5">
        <v>4</v>
      </c>
      <c r="I28" s="3">
        <v>3</v>
      </c>
      <c r="J28" s="5">
        <v>1</v>
      </c>
      <c r="K28" s="5"/>
      <c r="L28" s="27" t="s">
        <v>56</v>
      </c>
      <c r="M28" s="5" t="s">
        <v>94</v>
      </c>
      <c r="N28" s="1" t="s">
        <v>78</v>
      </c>
    </row>
    <row r="29" spans="1:14" x14ac:dyDescent="0.25">
      <c r="A29" s="5">
        <v>4</v>
      </c>
      <c r="B29" s="11" t="s">
        <v>31</v>
      </c>
      <c r="C29" s="5">
        <v>5</v>
      </c>
      <c r="D29" s="10"/>
      <c r="E29" s="10"/>
      <c r="F29" s="10"/>
      <c r="G29" s="10"/>
      <c r="H29" s="10"/>
      <c r="I29" s="3">
        <v>0</v>
      </c>
      <c r="J29" s="5">
        <v>0</v>
      </c>
      <c r="K29" s="28" t="s">
        <v>14</v>
      </c>
      <c r="L29" s="26" t="s">
        <v>56</v>
      </c>
      <c r="M29" s="5" t="s">
        <v>60</v>
      </c>
      <c r="N29" s="11" t="s">
        <v>109</v>
      </c>
    </row>
    <row r="30" spans="1:14" x14ac:dyDescent="0.25">
      <c r="A30" s="5">
        <v>7</v>
      </c>
      <c r="B30" s="11" t="s">
        <v>35</v>
      </c>
      <c r="C30" s="5">
        <v>6</v>
      </c>
      <c r="D30" s="10"/>
      <c r="E30" s="10"/>
      <c r="F30" s="10"/>
      <c r="G30" s="10"/>
      <c r="H30" s="10"/>
      <c r="I30" s="3">
        <v>0</v>
      </c>
      <c r="J30" s="5">
        <v>0</v>
      </c>
      <c r="K30" s="28"/>
      <c r="L30" s="26" t="s">
        <v>56</v>
      </c>
      <c r="M30" s="5" t="s">
        <v>60</v>
      </c>
      <c r="N30" s="11" t="s">
        <v>109</v>
      </c>
    </row>
    <row r="31" spans="1:14" x14ac:dyDescent="0.25">
      <c r="A31" s="5">
        <v>8</v>
      </c>
      <c r="B31" s="11" t="s">
        <v>9</v>
      </c>
      <c r="C31" s="5">
        <v>3</v>
      </c>
      <c r="D31" s="10"/>
      <c r="E31" s="10"/>
      <c r="F31" s="10"/>
      <c r="G31" s="10"/>
      <c r="H31" s="10"/>
      <c r="I31" s="3">
        <v>2</v>
      </c>
      <c r="J31" s="5">
        <v>1</v>
      </c>
      <c r="K31" s="28" t="s">
        <v>3</v>
      </c>
      <c r="L31" s="33" t="s">
        <v>134</v>
      </c>
      <c r="M31" s="5" t="s">
        <v>7</v>
      </c>
      <c r="N31" s="11" t="s">
        <v>79</v>
      </c>
    </row>
    <row r="32" spans="1:14" x14ac:dyDescent="0.25">
      <c r="A32" s="5">
        <v>11</v>
      </c>
      <c r="B32" s="11" t="s">
        <v>15</v>
      </c>
      <c r="C32" s="5">
        <v>2</v>
      </c>
      <c r="D32" s="10"/>
      <c r="E32" s="10"/>
      <c r="F32" s="10"/>
      <c r="G32" s="10"/>
      <c r="H32" s="10"/>
      <c r="I32" s="5">
        <v>3</v>
      </c>
      <c r="J32" s="5">
        <v>-1</v>
      </c>
      <c r="K32" s="29" t="s">
        <v>13</v>
      </c>
      <c r="L32" s="33" t="s">
        <v>135</v>
      </c>
      <c r="M32" s="5" t="s">
        <v>7</v>
      </c>
      <c r="N32" s="11" t="s">
        <v>79</v>
      </c>
    </row>
    <row r="33" spans="1:14" ht="15.75" thickBot="1" x14ac:dyDescent="0.3">
      <c r="A33" s="5">
        <v>12</v>
      </c>
      <c r="B33" s="11" t="s">
        <v>18</v>
      </c>
      <c r="C33" s="5">
        <v>3</v>
      </c>
      <c r="D33" s="10"/>
      <c r="E33" s="10"/>
      <c r="F33" s="10"/>
      <c r="G33" s="10"/>
      <c r="H33" s="10"/>
      <c r="I33" s="5">
        <v>3</v>
      </c>
      <c r="J33" s="5">
        <v>1</v>
      </c>
      <c r="K33" s="32" t="s">
        <v>16</v>
      </c>
      <c r="L33" s="34" t="s">
        <v>136</v>
      </c>
      <c r="M33" s="5" t="s">
        <v>7</v>
      </c>
      <c r="N33" s="11" t="s">
        <v>79</v>
      </c>
    </row>
    <row r="34" spans="1:14" x14ac:dyDescent="0.25">
      <c r="A34" s="5">
        <v>19</v>
      </c>
      <c r="B34" s="11" t="s">
        <v>37</v>
      </c>
      <c r="C34" s="5">
        <v>4</v>
      </c>
      <c r="D34" s="10"/>
      <c r="E34" s="10"/>
      <c r="F34" s="10"/>
      <c r="G34" s="10"/>
      <c r="H34" s="10"/>
      <c r="I34" s="5">
        <v>3</v>
      </c>
      <c r="J34" s="5">
        <v>0</v>
      </c>
      <c r="K34" s="28" t="s">
        <v>36</v>
      </c>
      <c r="L34" s="28" t="s">
        <v>137</v>
      </c>
      <c r="M34" s="5" t="s">
        <v>38</v>
      </c>
      <c r="N34" s="11" t="s">
        <v>79</v>
      </c>
    </row>
    <row r="35" spans="1:14" x14ac:dyDescent="0.25">
      <c r="M35" s="11"/>
    </row>
  </sheetData>
  <sortState xmlns:xlrd2="http://schemas.microsoft.com/office/spreadsheetml/2017/richdata2" ref="A4:K26">
    <sortCondition ref="K3"/>
  </sortState>
  <mergeCells count="1">
    <mergeCell ref="D2:G2"/>
  </mergeCells>
  <phoneticPr fontId="7" type="noConversion"/>
  <conditionalFormatting sqref="L1:L32 L34:L1048576">
    <cfRule type="cellIs" dxfId="18" priority="1" operator="equal">
      <formula>"no"</formula>
    </cfRule>
  </conditionalFormatting>
  <hyperlinks>
    <hyperlink ref="K31" r:id="rId1" xr:uid="{31D274B9-5E73-4EAC-A81B-9D3A3AA08606}"/>
    <hyperlink ref="K8" r:id="rId2" display="https://teams.microsoft.com/l/file/75A0B3AB-F810-4DFE-BF2D-669FC701AACD?tenantId=097464b8-069c-453e-9254-c17ec707310d&amp;fileType=pdf&amp;objectUrl=https%3A%2F%2Fdanfoss.sharepoint.com%2Fsites%2FProductTechnologyStrategy%2FShared%20Documents%2FGeneral%2FArchive%2FBruce-Danfoss_Filter_Geh%C3%A4use_REV02_2019-11-18.pdf&amp;baseUrl=https%3A%2F%2Fdanfoss.sharepoint.com%2Fsites%2FProductTechnologyStrategy&amp;serviceName=teams&amp;threadId=19:31ceb553cab840399de26bf67df955ec@thread.skype&amp;groupId=b551b913-237e-487f-8b4a-78189d2ca53e" xr:uid="{86E48F69-F2B2-4BE4-AFD4-499994AE8907}"/>
    <hyperlink ref="K17" r:id="rId3" xr:uid="{66079325-70AB-4311-B468-7DA074C5D8D8}"/>
    <hyperlink ref="K6" r:id="rId4" xr:uid="{4697C683-423B-4162-8AF8-9C5614452676}"/>
    <hyperlink ref="K32" r:id="rId5" xr:uid="{94D00E96-D1D5-4AD2-9674-C5243B51EC1A}"/>
    <hyperlink ref="K33" r:id="rId6" xr:uid="{76A99B80-0B1F-4C91-B3A5-960095113010}"/>
    <hyperlink ref="K7" r:id="rId7" xr:uid="{8AD8A7E5-3E9E-498B-B1AC-9C5230A3EDED}"/>
    <hyperlink ref="K9" r:id="rId8" xr:uid="{B6D528EC-035D-4443-A5B2-C7903483CC63}"/>
    <hyperlink ref="K20" r:id="rId9" xr:uid="{177C9A41-8ABE-4CBC-BF42-858996EF7C17}"/>
    <hyperlink ref="K34" r:id="rId10" xr:uid="{DF4BAEEE-0D73-47E9-ACE2-5564C029009C}"/>
    <hyperlink ref="K14" r:id="rId11" xr:uid="{473D28AC-4601-4278-B344-2920DE30BEA2}"/>
    <hyperlink ref="K15" r:id="rId12" xr:uid="{6C0B2031-65B0-45DB-B3B4-5C2F58163964}"/>
    <hyperlink ref="K11" r:id="rId13" xr:uid="{13321D5D-D6F5-4720-B27F-AF5297778502}"/>
    <hyperlink ref="K16" r:id="rId14" xr:uid="{D084672D-0604-4AE3-A293-64A12ABEC2ED}"/>
    <hyperlink ref="K13" r:id="rId15" xr:uid="{DCA149B6-A157-468F-9755-40A417D46A97}"/>
    <hyperlink ref="K27" r:id="rId16" xr:uid="{15A3141C-8007-4D4A-B4F7-4FA31F5BE511}"/>
    <hyperlink ref="L27" r:id="rId17" xr:uid="{98AAC578-4DE4-4191-98B5-82BB5B145B4C}"/>
    <hyperlink ref="L6" r:id="rId18" xr:uid="{E6A3CFC4-495A-4B7E-A446-1C1D8B58BB59}"/>
    <hyperlink ref="L7" r:id="rId19" xr:uid="{902B9A7A-75F4-49D3-B390-83EEF916BA8F}"/>
    <hyperlink ref="L8" r:id="rId20" xr:uid="{E7747F99-EB5A-45E5-9B7E-C75548C97885}"/>
    <hyperlink ref="L9" r:id="rId21" xr:uid="{546CF343-912B-41C8-BBEC-9D106C865FB8}"/>
    <hyperlink ref="L11" r:id="rId22" xr:uid="{F8CA7E4B-B32E-4E09-8191-AFBE3C47507C}"/>
    <hyperlink ref="L13" r:id="rId23" xr:uid="{978C7264-9A1B-4BD1-BC74-3D26AB0FBC6A}"/>
    <hyperlink ref="L14" r:id="rId24" xr:uid="{281D81E8-4990-4370-B18E-CD78176BAE59}"/>
    <hyperlink ref="L15" r:id="rId25" xr:uid="{4C880C80-81DA-45BD-A03E-18C3BD4AE432}"/>
    <hyperlink ref="L16" r:id="rId26" xr:uid="{72A4779F-56E2-45CD-B226-8D2F7232CD96}"/>
    <hyperlink ref="L17" r:id="rId27" xr:uid="{E0BB6E23-1AF4-411B-8C95-18715CC8176B}"/>
    <hyperlink ref="L20" r:id="rId28" xr:uid="{69066C29-66E4-42A9-B2E8-413A43AC3BC4}"/>
    <hyperlink ref="L23" r:id="rId29" xr:uid="{52D972E1-E7A6-4BDA-83E7-F3BA0A44FC91}"/>
    <hyperlink ref="L31" r:id="rId30" xr:uid="{E2967F67-9134-4EA5-A1A5-0D1042FB87DB}"/>
    <hyperlink ref="L32" r:id="rId31" xr:uid="{5144F1B7-305C-424C-8AA6-AC478457A63B}"/>
    <hyperlink ref="L33" r:id="rId32" xr:uid="{D8F0D0E6-9A43-4C56-9FD1-86017CF1F6EF}"/>
    <hyperlink ref="L34" r:id="rId33" xr:uid="{C3B5C49A-3AF2-4BB8-9A5A-17607F208B77}"/>
  </hyperlinks>
  <pageMargins left="0.7" right="0.7" top="0.75" bottom="0.75" header="0.3" footer="0.3"/>
  <pageSetup paperSize="9" orientation="portrait" horizontalDpi="300" verticalDpi="300" r:id="rId34"/>
  <headerFooter>
    <oddFooter>&amp;C&amp;1#&amp;"Calibri"&amp;10&amp;K000000Classified as Business</oddFooter>
  </headerFooter>
  <legacyDrawing r:id="rId35"/>
  <tableParts count="1">
    <tablePart r:id="rId3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EEDF-9075-4DF4-AC36-7F471DA01B75}">
  <dimension ref="B2:G9"/>
  <sheetViews>
    <sheetView workbookViewId="0">
      <selection activeCell="G9" sqref="G9"/>
    </sheetView>
  </sheetViews>
  <sheetFormatPr defaultRowHeight="15" x14ac:dyDescent="0.25"/>
  <cols>
    <col min="2" max="2" width="29" bestFit="1" customWidth="1"/>
    <col min="4" max="4" width="12.42578125" bestFit="1" customWidth="1"/>
    <col min="6" max="6" width="54.7109375" bestFit="1" customWidth="1"/>
    <col min="7" max="7" width="32.7109375" bestFit="1" customWidth="1"/>
  </cols>
  <sheetData>
    <row r="2" spans="2:7" x14ac:dyDescent="0.25"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45</v>
      </c>
    </row>
    <row r="3" spans="2:7" x14ac:dyDescent="0.25">
      <c r="B3" t="s">
        <v>44</v>
      </c>
      <c r="C3" s="6">
        <v>44102</v>
      </c>
      <c r="D3" t="s">
        <v>46</v>
      </c>
      <c r="E3" t="s">
        <v>47</v>
      </c>
      <c r="F3" t="s">
        <v>48</v>
      </c>
      <c r="G3" t="s">
        <v>49</v>
      </c>
    </row>
    <row r="4" spans="2:7" x14ac:dyDescent="0.25">
      <c r="B4" t="s">
        <v>50</v>
      </c>
      <c r="C4" s="6">
        <v>44104</v>
      </c>
      <c r="D4" t="s">
        <v>46</v>
      </c>
      <c r="E4" t="s">
        <v>47</v>
      </c>
      <c r="F4" t="s">
        <v>52</v>
      </c>
      <c r="G4" t="s">
        <v>49</v>
      </c>
    </row>
    <row r="5" spans="2:7" x14ac:dyDescent="0.25">
      <c r="B5" t="s">
        <v>51</v>
      </c>
      <c r="C5" s="6">
        <v>44105</v>
      </c>
      <c r="D5" t="s">
        <v>46</v>
      </c>
      <c r="E5" t="s">
        <v>47</v>
      </c>
      <c r="F5" t="s">
        <v>53</v>
      </c>
      <c r="G5" t="s">
        <v>54</v>
      </c>
    </row>
    <row r="6" spans="2:7" x14ac:dyDescent="0.25">
      <c r="B6" t="s">
        <v>55</v>
      </c>
      <c r="C6" s="6">
        <v>44112</v>
      </c>
      <c r="D6" t="s">
        <v>21</v>
      </c>
      <c r="E6" t="s">
        <v>47</v>
      </c>
      <c r="F6" t="s">
        <v>80</v>
      </c>
      <c r="G6" t="s">
        <v>52</v>
      </c>
    </row>
    <row r="7" spans="2:7" x14ac:dyDescent="0.25">
      <c r="B7" t="s">
        <v>57</v>
      </c>
      <c r="C7" s="6">
        <v>44117</v>
      </c>
      <c r="D7" t="s">
        <v>46</v>
      </c>
      <c r="E7" t="s">
        <v>47</v>
      </c>
      <c r="F7" t="s">
        <v>73</v>
      </c>
      <c r="G7" t="s">
        <v>81</v>
      </c>
    </row>
    <row r="8" spans="2:7" x14ac:dyDescent="0.25">
      <c r="B8" t="s">
        <v>58</v>
      </c>
      <c r="C8" s="6">
        <v>44116</v>
      </c>
      <c r="D8" t="s">
        <v>59</v>
      </c>
      <c r="E8" t="s">
        <v>47</v>
      </c>
      <c r="F8" t="s">
        <v>97</v>
      </c>
      <c r="G8" t="s">
        <v>96</v>
      </c>
    </row>
    <row r="9" spans="2:7" x14ac:dyDescent="0.25">
      <c r="B9" t="s">
        <v>98</v>
      </c>
      <c r="C9" s="6">
        <v>44127</v>
      </c>
      <c r="D9" t="s">
        <v>59</v>
      </c>
      <c r="E9" t="s">
        <v>47</v>
      </c>
      <c r="F9" t="s">
        <v>87</v>
      </c>
      <c r="G9" t="s">
        <v>113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0864-A368-496A-AE23-3354C3E2251E}">
  <dimension ref="A3:C16"/>
  <sheetViews>
    <sheetView workbookViewId="0">
      <selection activeCell="B20" sqref="B20"/>
    </sheetView>
  </sheetViews>
  <sheetFormatPr defaultRowHeight="15" x14ac:dyDescent="0.25"/>
  <cols>
    <col min="1" max="1" width="20.28515625" bestFit="1" customWidth="1"/>
    <col min="2" max="2" width="23" bestFit="1" customWidth="1"/>
    <col min="3" max="3" width="21.140625" bestFit="1" customWidth="1"/>
    <col min="4" max="5" width="2" bestFit="1" customWidth="1"/>
    <col min="6" max="6" width="11" bestFit="1" customWidth="1"/>
    <col min="7" max="10" width="2" bestFit="1" customWidth="1"/>
    <col min="11" max="29" width="3" bestFit="1" customWidth="1"/>
    <col min="30" max="30" width="11" bestFit="1" customWidth="1"/>
  </cols>
  <sheetData>
    <row r="3" spans="1:3" x14ac:dyDescent="0.25">
      <c r="A3" s="23" t="s">
        <v>101</v>
      </c>
      <c r="B3" t="s">
        <v>103</v>
      </c>
    </row>
    <row r="4" spans="1:3" x14ac:dyDescent="0.25">
      <c r="A4" s="24" t="s">
        <v>104</v>
      </c>
      <c r="B4" s="22">
        <v>13</v>
      </c>
    </row>
    <row r="5" spans="1:3" x14ac:dyDescent="0.25">
      <c r="A5" s="24" t="s">
        <v>105</v>
      </c>
      <c r="B5" s="22">
        <v>6</v>
      </c>
    </row>
    <row r="6" spans="1:3" x14ac:dyDescent="0.25">
      <c r="A6" s="24" t="s">
        <v>106</v>
      </c>
      <c r="B6" s="22">
        <v>2</v>
      </c>
    </row>
    <row r="7" spans="1:3" x14ac:dyDescent="0.25">
      <c r="A7" s="24" t="s">
        <v>107</v>
      </c>
      <c r="B7" s="22">
        <v>8</v>
      </c>
    </row>
    <row r="8" spans="1:3" x14ac:dyDescent="0.25">
      <c r="A8" s="24" t="s">
        <v>102</v>
      </c>
      <c r="B8" s="22">
        <v>29</v>
      </c>
    </row>
    <row r="11" spans="1:3" x14ac:dyDescent="0.25">
      <c r="A11" s="23" t="s">
        <v>101</v>
      </c>
      <c r="B11" t="s">
        <v>103</v>
      </c>
      <c r="C11" s="23"/>
    </row>
    <row r="12" spans="1:3" x14ac:dyDescent="0.25">
      <c r="A12" s="24" t="s">
        <v>78</v>
      </c>
      <c r="B12" s="22">
        <v>3</v>
      </c>
    </row>
    <row r="13" spans="1:3" x14ac:dyDescent="0.25">
      <c r="A13" s="24" t="s">
        <v>77</v>
      </c>
      <c r="B13" s="22">
        <v>11</v>
      </c>
    </row>
    <row r="14" spans="1:3" x14ac:dyDescent="0.25">
      <c r="A14" s="24" t="s">
        <v>79</v>
      </c>
      <c r="B14" s="22">
        <v>11</v>
      </c>
    </row>
    <row r="15" spans="1:3" x14ac:dyDescent="0.25">
      <c r="A15" s="24" t="s">
        <v>109</v>
      </c>
      <c r="B15" s="22">
        <v>4</v>
      </c>
    </row>
    <row r="16" spans="1:3" x14ac:dyDescent="0.25">
      <c r="A16" s="24" t="s">
        <v>102</v>
      </c>
      <c r="B16" s="22">
        <v>29</v>
      </c>
    </row>
  </sheetData>
  <pageMargins left="0.7" right="0.7" top="0.75" bottom="0.75" header="0.3" footer="0.3"/>
  <pageSetup paperSize="9" orientation="portrait" horizontalDpi="300" verticalDpi="300" r:id="rId3"/>
  <headerFooter>
    <oddFooter>&amp;C&amp;1#&amp;"Calibri"&amp;10&amp;K000000Classified as Business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AC15655474C4A84A299394886D44C" ma:contentTypeVersion="12" ma:contentTypeDescription="Create a new document." ma:contentTypeScope="" ma:versionID="6f2343ae8446e4dee34dae02691d726b">
  <xsd:schema xmlns:xsd="http://www.w3.org/2001/XMLSchema" xmlns:xs="http://www.w3.org/2001/XMLSchema" xmlns:p="http://schemas.microsoft.com/office/2006/metadata/properties" xmlns:ns2="504ea18b-74d5-4fc6-bba2-59cd5e7cdb54" xmlns:ns3="95227902-24a6-4ee4-9c47-d30f769d9261" xmlns:ns4="77505787-b86b-4d9a-87b2-ad2acd89f33c" targetNamespace="http://schemas.microsoft.com/office/2006/metadata/properties" ma:root="true" ma:fieldsID="b4be35e9cc93d85e164f9717d664349a" ns2:_="" ns3:_="" ns4:_="">
    <xsd:import namespace="504ea18b-74d5-4fc6-bba2-59cd5e7cdb54"/>
    <xsd:import namespace="95227902-24a6-4ee4-9c47-d30f769d9261"/>
    <xsd:import namespace="77505787-b86b-4d9a-87b2-ad2acd89f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ea18b-74d5-4fc6-bba2-59cd5e7cd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c5abc1a-b827-4379-b6d7-11c969e250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27902-24a6-4ee4-9c47-d30f769d926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05787-b86b-4d9a-87b2-ad2acd89f33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d253ff8-207f-4f86-a690-d8fb1c81be57}" ma:internalName="TaxCatchAll" ma:showField="CatchAllData" ma:web="95227902-24a6-4ee4-9c47-d30f769d92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505787-b86b-4d9a-87b2-ad2acd89f33c" xsi:nil="true"/>
    <lcf76f155ced4ddcb4097134ff3c332f xmlns="504ea18b-74d5-4fc6-bba2-59cd5e7cdb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829301-5F6B-420A-B1FD-92A460098BD3}"/>
</file>

<file path=customXml/itemProps2.xml><?xml version="1.0" encoding="utf-8"?>
<ds:datastoreItem xmlns:ds="http://schemas.openxmlformats.org/officeDocument/2006/customXml" ds:itemID="{0D21248F-EA82-4D04-9243-D00F375595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E16DA7-8698-41B7-872D-458DF658E69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c90396e4-b68c-4d6b-982e-5a94f53c0ced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244bb92b-01ee-483a-85ce-02b7d2e7d3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Techs</vt:lpstr>
      <vt:lpstr>Contacts</vt:lpstr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Vahid Khorshidi</cp:lastModifiedBy>
  <cp:revision/>
  <dcterms:created xsi:type="dcterms:W3CDTF">2020-10-07T07:25:24Z</dcterms:created>
  <dcterms:modified xsi:type="dcterms:W3CDTF">2020-11-20T07:25:56Z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0x010100218AC15655474C4A84A299394886D44C</vt:lpwstr>
  </property>
  <property fmtid="{D5CDD505-2E9C-101B-9397-08002B2CF9AE}" pid="3" name="MSIP_Label_8d6a82de-332f-43b8-a8a7-1928fd67507f_Enabled">
    <vt:lpwstr>true</vt:lpwstr>
  </property>
  <property fmtid="{D5CDD505-2E9C-101B-9397-08002B2CF9AE}" pid="4" name="MSIP_Label_8d6a82de-332f-43b8-a8a7-1928fd67507f_SetDate">
    <vt:lpwstr>2020-11-20T07:25:56Z</vt:lpwstr>
  </property>
  <property fmtid="{D5CDD505-2E9C-101B-9397-08002B2CF9AE}" pid="5" name="MSIP_Label_8d6a82de-332f-43b8-a8a7-1928fd67507f_Method">
    <vt:lpwstr>Standard</vt:lpwstr>
  </property>
  <property fmtid="{D5CDD505-2E9C-101B-9397-08002B2CF9AE}" pid="6" name="MSIP_Label_8d6a82de-332f-43b8-a8a7-1928fd67507f_Name">
    <vt:lpwstr>1. Business</vt:lpwstr>
  </property>
  <property fmtid="{D5CDD505-2E9C-101B-9397-08002B2CF9AE}" pid="7" name="MSIP_Label_8d6a82de-332f-43b8-a8a7-1928fd67507f_SiteId">
    <vt:lpwstr>097464b8-069c-453e-9254-c17ec707310d</vt:lpwstr>
  </property>
  <property fmtid="{D5CDD505-2E9C-101B-9397-08002B2CF9AE}" pid="8" name="MSIP_Label_8d6a82de-332f-43b8-a8a7-1928fd67507f_ActionId">
    <vt:lpwstr>b96e6b75-df5d-4e9b-aa78-862394ea5b47</vt:lpwstr>
  </property>
  <property fmtid="{D5CDD505-2E9C-101B-9397-08002B2CF9AE}" pid="9" name="MSIP_Label_8d6a82de-332f-43b8-a8a7-1928fd67507f_ContentBits">
    <vt:lpwstr>2</vt:lpwstr>
  </property>
</Properties>
</file>